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ISLEM" sheetId="1" r:id="rId4"/>
    <sheet state="visible" name="DOVIZ" sheetId="2" r:id="rId5"/>
    <sheet state="visible" name="SAYI" sheetId="3" r:id="rId6"/>
    <sheet state="visible" name="yuvarla" sheetId="4" r:id="rId7"/>
    <sheet state="visible" name="EGER1" sheetId="5" r:id="rId8"/>
    <sheet state="visible" name="BOY" sheetId="6" r:id="rId9"/>
    <sheet state="visible" name="VEYADA" sheetId="7" r:id="rId10"/>
    <sheet state="visible" name="ETOPLA" sheetId="8" r:id="rId11"/>
    <sheet state="visible" name="VIZE" sheetId="9" r:id="rId12"/>
    <sheet state="visible" name="ODEME" sheetId="10" r:id="rId13"/>
    <sheet state="visible" name="MATEMATİK" sheetId="11" r:id="rId14"/>
    <sheet state="visible" name="FEN" sheetId="12" r:id="rId15"/>
    <sheet state="visible" name="TÜRKÇE" sheetId="13" r:id="rId16"/>
    <sheet state="visible" name="LİSTE" sheetId="14" r:id="rId17"/>
    <sheet state="visible" name="KARNE" sheetId="15" r:id="rId18"/>
    <sheet state="visible" name="tablo" sheetId="16" r:id="rId19"/>
    <sheet state="visible" name="FONKGRAFIK" sheetId="17" r:id="rId20"/>
  </sheets>
  <definedNames/>
  <calcPr/>
  <extLst>
    <ext uri="GoogleSheetsCustomDataVersion2">
      <go:sheetsCustomData xmlns:go="http://customooxmlschemas.google.com/" r:id="rId21" roundtripDataChecksum="lY9knHh6uhpHvmaIR0dRx+mmxeS4jta8mMFgdi6N3Vs="/>
    </ext>
  </extLst>
</workbook>
</file>

<file path=xl/sharedStrings.xml><?xml version="1.0" encoding="utf-8"?>
<sst xmlns="http://schemas.openxmlformats.org/spreadsheetml/2006/main" count="326" uniqueCount="160">
  <si>
    <t>1.SAYI</t>
  </si>
  <si>
    <t>2.SAYI</t>
  </si>
  <si>
    <t>TOPLAM</t>
  </si>
  <si>
    <t>ÇARPIM</t>
  </si>
  <si>
    <t>FARK</t>
  </si>
  <si>
    <t>BÖLÜM</t>
  </si>
  <si>
    <t>DÖVİZ KURU</t>
  </si>
  <si>
    <t>DOLAR($)=</t>
  </si>
  <si>
    <t>EURO(€)=</t>
  </si>
  <si>
    <t>HESAP TÜRÜ ($)</t>
  </si>
  <si>
    <t>HESAP TÜRÜ (€)</t>
  </si>
  <si>
    <t>BANKA</t>
  </si>
  <si>
    <t>BAKİYE</t>
  </si>
  <si>
    <t>TL KARŞILIĞI</t>
  </si>
  <si>
    <t>AKBANK</t>
  </si>
  <si>
    <t>İŞBANK</t>
  </si>
  <si>
    <t>GARANTİ</t>
  </si>
  <si>
    <t>Y.KREDİ</t>
  </si>
  <si>
    <t>YAPI KREDİ</t>
  </si>
  <si>
    <t>TOPLAM =</t>
  </si>
  <si>
    <t>ADET (dolu hücre sayısı)=</t>
  </si>
  <si>
    <t>ORTALAMA=</t>
  </si>
  <si>
    <t>EN BÜYÜK =</t>
  </si>
  <si>
    <t>EN KÜÇÜK =</t>
  </si>
  <si>
    <t>3. EN BÜYÜK:</t>
  </si>
  <si>
    <t>5. EN KÜÇÜK:</t>
  </si>
  <si>
    <t>3,5,7.SATTOP:</t>
  </si>
  <si>
    <t>1,3. SÜT ORT:</t>
  </si>
  <si>
    <t>Sayı</t>
  </si>
  <si>
    <t>Yuvarla</t>
  </si>
  <si>
    <t>Yukarı 
Yuvarla</t>
  </si>
  <si>
    <t>Aşağı 
Yuvarla</t>
  </si>
  <si>
    <t>KARŞILAŞTIRMA</t>
  </si>
  <si>
    <t>YAPILAN 
MESAİ (SAAT)</t>
  </si>
  <si>
    <t>MESAİ 
ÜCRETİ</t>
  </si>
  <si>
    <t>ALİ</t>
  </si>
  <si>
    <t>AHMET</t>
  </si>
  <si>
    <t>NEŞE</t>
  </si>
  <si>
    <t>İsim</t>
  </si>
  <si>
    <t>Boy(cm)</t>
  </si>
  <si>
    <t>İkili 
Değerlendirme</t>
  </si>
  <si>
    <t>Üçlü 
Değerlendirme</t>
  </si>
  <si>
    <t>Serkan Özcan</t>
  </si>
  <si>
    <t>Zeynep Ak</t>
  </si>
  <si>
    <t>Ali Erhan</t>
  </si>
  <si>
    <t>1.TUR</t>
  </si>
  <si>
    <t>2.TUR</t>
  </si>
  <si>
    <t>3.TUR</t>
  </si>
  <si>
    <t>SONUÇ</t>
  </si>
  <si>
    <t>ALI</t>
  </si>
  <si>
    <t>AYSE</t>
  </si>
  <si>
    <t>ZEYNEP</t>
  </si>
  <si>
    <t>CANAN</t>
  </si>
  <si>
    <t>CEM</t>
  </si>
  <si>
    <t>GELİR - GİDER TABLOSU</t>
  </si>
  <si>
    <t>ALACAK TOPLAM:</t>
  </si>
  <si>
    <t>ALACAK</t>
  </si>
  <si>
    <t>BORÇ TOPLAM:</t>
  </si>
  <si>
    <t>BORÇ</t>
  </si>
  <si>
    <t>200 TL ve ÜZERİ TOPLAM:</t>
  </si>
  <si>
    <t>ALACAK SAYISI:</t>
  </si>
  <si>
    <t>BORÇ SAYISI:</t>
  </si>
  <si>
    <t>ALACAK ORTALAMASI:</t>
  </si>
  <si>
    <t>BORÇ ORTALAMASI:</t>
  </si>
  <si>
    <t>Cinsiyet</t>
  </si>
  <si>
    <t>ÖĞRENCİ</t>
  </si>
  <si>
    <t>Vize</t>
  </si>
  <si>
    <t>Final</t>
  </si>
  <si>
    <t>Yılsonu</t>
  </si>
  <si>
    <t>Durum1</t>
  </si>
  <si>
    <t>Durum2</t>
  </si>
  <si>
    <t>Durum3</t>
  </si>
  <si>
    <t>E</t>
  </si>
  <si>
    <t>K</t>
  </si>
  <si>
    <t>CAN</t>
  </si>
  <si>
    <t>ORTALAMA =</t>
  </si>
  <si>
    <t>EN YÜKSEK =</t>
  </si>
  <si>
    <t>EN DÜŞÜK =</t>
  </si>
  <si>
    <t>ERKEK 
ÖĞRENCİ SAYISI:</t>
  </si>
  <si>
    <t>ERKEK
ORT.=</t>
  </si>
  <si>
    <t>KIZ ÖĞRENCİ SAYISI:</t>
  </si>
  <si>
    <t>KIZ
ORT.=</t>
  </si>
  <si>
    <t>TARİH:</t>
  </si>
  <si>
    <t>ÖDEME TUTARI</t>
  </si>
  <si>
    <t>ÖDEME TARİHİ</t>
  </si>
  <si>
    <t>KALAN GÜN</t>
  </si>
  <si>
    <t>NO</t>
  </si>
  <si>
    <t>Ortalama</t>
  </si>
  <si>
    <t>Durum</t>
  </si>
  <si>
    <t>ALI AY</t>
  </si>
  <si>
    <t>AYSE GÜŞ</t>
  </si>
  <si>
    <t>ZEYNEP YILMAZ</t>
  </si>
  <si>
    <t>AHMET AYDIN</t>
  </si>
  <si>
    <t>CANAN ERCAN</t>
  </si>
  <si>
    <t>CEM DOĞAN</t>
  </si>
  <si>
    <t>CAN ERYÜZ</t>
  </si>
  <si>
    <t>DÜŞEYARA Metodu ile numarası yazılan öğrencinin yan kutucuğuna öğrencinin adı yazılsın.</t>
  </si>
  <si>
    <t>NO:</t>
  </si>
  <si>
    <t>NO Girildiğinde, Ara Fonksiyonuyla diğer bilgiler gelecek.</t>
  </si>
  <si>
    <t>İSİM:</t>
  </si>
  <si>
    <t>ORTALAMA:</t>
  </si>
  <si>
    <t>Durum:</t>
  </si>
  <si>
    <t>Notları içeren bir Grafik oluşturunuz.</t>
  </si>
  <si>
    <t>NO :</t>
  </si>
  <si>
    <t>AD SOYAD :</t>
  </si>
  <si>
    <t>DERS</t>
  </si>
  <si>
    <t>NOT</t>
  </si>
  <si>
    <t>DURUM</t>
  </si>
  <si>
    <t>MATEMATİK :</t>
  </si>
  <si>
    <t>FEN :</t>
  </si>
  <si>
    <t>TÜRKÇE :</t>
  </si>
  <si>
    <t>ÜRÜN ADI</t>
  </si>
  <si>
    <t>MARKA</t>
  </si>
  <si>
    <t>BÖLGE</t>
  </si>
  <si>
    <t>ADET</t>
  </si>
  <si>
    <t xml:space="preserve">FİYAT </t>
  </si>
  <si>
    <t xml:space="preserve">TUTAR </t>
  </si>
  <si>
    <t>TARİH</t>
  </si>
  <si>
    <t>MOUSE</t>
  </si>
  <si>
    <t>LOGITECH</t>
  </si>
  <si>
    <t>SAMSUN</t>
  </si>
  <si>
    <t>COMPUTER</t>
  </si>
  <si>
    <t>TATUNG</t>
  </si>
  <si>
    <t>CD-ROM</t>
  </si>
  <si>
    <t>CREATIVE</t>
  </si>
  <si>
    <t>PRINTER</t>
  </si>
  <si>
    <t>STAR</t>
  </si>
  <si>
    <t>İZMİR</t>
  </si>
  <si>
    <t xml:space="preserve">
1. Tabloya DURUM adında bir sütun ekleyiniz. Bu alana ;
TUTAR değeri 1000'den küçükse DÜŞÜK TUTAR,
TUTAR değeri 1000 İLE 5000  arasında ise NORMAL TUTAR,
TUTAR değeri 5000 İLE 10000  arasında ise YÜKSEK TUTAR,
TUTAR değeri 10000'den yüksek ise ÇOK YÜKSEK TUTAR yazan işlevi çoklu EĞER kullanarak yapınız.
2. Tabloda 1 Eylül 2012 tarihinden sonra yapılan satışlara ait toplam tutar değerini hesaplatınız
3. ADANA bölgesindeki TOPLAM tutar değerini ETOPLA işlevini kulllaran hesaplatınız.
4. Tablodaki en yüksek ve en düşük TUTAR değerini bulduran işlevi yazınız.
</t>
  </si>
  <si>
    <t>MICROSOFT</t>
  </si>
  <si>
    <t>DIGITAL</t>
  </si>
  <si>
    <t>CANON</t>
  </si>
  <si>
    <t>İSTANBUL</t>
  </si>
  <si>
    <t>IBM</t>
  </si>
  <si>
    <t>HP</t>
  </si>
  <si>
    <t>PACKARD BELL</t>
  </si>
  <si>
    <t>ESCORT</t>
  </si>
  <si>
    <t>ESKİŞEHİR</t>
  </si>
  <si>
    <t>MONITOR</t>
  </si>
  <si>
    <t>BURSA</t>
  </si>
  <si>
    <t>ANTALYA</t>
  </si>
  <si>
    <t>D29*E29</t>
  </si>
  <si>
    <t>ANKARA</t>
  </si>
  <si>
    <t>ADANA</t>
  </si>
  <si>
    <t>AY</t>
  </si>
  <si>
    <t>SATIŞ ADEDİ</t>
  </si>
  <si>
    <t>X</t>
  </si>
  <si>
    <t>X²-2X-3</t>
  </si>
  <si>
    <t>OCAK</t>
  </si>
  <si>
    <t>ŞUBAT</t>
  </si>
  <si>
    <t>MART</t>
  </si>
  <si>
    <t>NİSAN</t>
  </si>
  <si>
    <t>MAYIS</t>
  </si>
  <si>
    <t>HAZİRAN</t>
  </si>
  <si>
    <t>TEMMUZ</t>
  </si>
  <si>
    <t>AĞUSTOS</t>
  </si>
  <si>
    <t>EYLÜL</t>
  </si>
  <si>
    <t>EKİM</t>
  </si>
  <si>
    <t>KASIM</t>
  </si>
  <si>
    <t>ARALIK</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</si>
</sst>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quot;₺&quot;"/>
    <numFmt numFmtId="165" formatCode="#,##0\ &quot;₺&quot;"/>
    <numFmt numFmtId="166" formatCode="#,##0\ &quot;TL&quot;"/>
    <numFmt numFmtId="167" formatCode="D/M/YYYY"/>
    <numFmt numFmtId="168" formatCode="#,##0.00\ &quot;TL&quot;"/>
    <numFmt numFmtId="169" formatCode="_-* #,##0\ [$₺-41F]_-;\-* #,##0\ [$₺-41F]_-;_-* &quot;-&quot;??\ [$₺-41F]_-;_-@"/>
    <numFmt numFmtId="170" formatCode="dd\ mmmm\ yyyy\ ddd"/>
  </numFmts>
  <fonts count="22">
    <font>
      <sz val="10.0"/>
      <color rgb="FF000000"/>
      <name val="Arimo"/>
      <scheme val="minor"/>
    </font>
    <font>
      <sz val="13.0"/>
      <color theme="1"/>
      <name val="Arimo"/>
    </font>
    <font>
      <sz val="14.0"/>
      <color theme="1"/>
      <name val="Arimo"/>
    </font>
    <font>
      <sz val="16.0"/>
      <color theme="1"/>
      <name val="Arimo"/>
    </font>
    <font>
      <sz val="15.0"/>
      <color theme="1"/>
      <name val="Arimo"/>
    </font>
    <font/>
    <font>
      <sz val="11.0"/>
      <color theme="1"/>
      <name val="Arimo"/>
    </font>
    <font>
      <sz val="18.0"/>
      <color theme="1"/>
      <name val="Arimo"/>
    </font>
    <font>
      <sz val="10.0"/>
      <color theme="1"/>
      <name val="Arimo"/>
    </font>
    <font>
      <b/>
      <sz val="16.0"/>
      <color rgb="FFFFFFFF"/>
      <name val="Arimo"/>
    </font>
    <font>
      <b/>
      <sz val="16.0"/>
      <color rgb="FF000000"/>
      <name val="Arimo"/>
    </font>
    <font>
      <sz val="14.0"/>
      <color rgb="FFFFFF00"/>
      <name val="Arimo"/>
    </font>
    <font>
      <b/>
      <sz val="10.0"/>
      <color theme="1"/>
      <name val="Arimo"/>
    </font>
    <font>
      <b/>
      <i/>
      <sz val="16.0"/>
      <color rgb="FFFFFFFF"/>
      <name val="Arimo"/>
    </font>
    <font>
      <sz val="16.0"/>
      <color rgb="FF000080"/>
      <name val="Arimo"/>
    </font>
    <font>
      <sz val="12.0"/>
      <color theme="1"/>
      <name val="Arimo"/>
    </font>
    <font>
      <color theme="1"/>
      <name val="Arimo"/>
      <scheme val="minor"/>
    </font>
    <font>
      <b/>
      <sz val="12.0"/>
      <color theme="1"/>
      <name val="Arimo"/>
    </font>
    <font>
      <b/>
      <sz val="12.0"/>
      <color rgb="FFFFFFFF"/>
      <name val="Calibri"/>
    </font>
    <font>
      <sz val="12.0"/>
      <color theme="1"/>
      <name val="Calibri"/>
    </font>
    <font>
      <b/>
      <sz val="12.0"/>
      <color theme="1"/>
      <name val="Calibri"/>
    </font>
    <font>
      <sz val="18.0"/>
      <color rgb="FF000080"/>
      <name val="Arimo"/>
    </font>
  </fonts>
  <fills count="11">
    <fill>
      <patternFill patternType="none"/>
    </fill>
    <fill>
      <patternFill patternType="lightGray"/>
    </fill>
    <fill>
      <patternFill patternType="solid">
        <fgColor rgb="FF000080"/>
        <bgColor rgb="FF000080"/>
      </patternFill>
    </fill>
    <fill>
      <patternFill patternType="solid">
        <fgColor rgb="FF00FFFF"/>
        <bgColor rgb="FF00FFFF"/>
      </patternFill>
    </fill>
    <fill>
      <patternFill patternType="solid">
        <fgColor rgb="FFFFFF00"/>
        <bgColor rgb="FFFFFF00"/>
      </patternFill>
    </fill>
    <fill>
      <patternFill patternType="solid">
        <fgColor rgb="FFC0C0C0"/>
        <bgColor rgb="FFC0C0C0"/>
      </patternFill>
    </fill>
    <fill>
      <patternFill patternType="solid">
        <fgColor rgb="FF99CCFF"/>
        <bgColor rgb="FF99CCFF"/>
      </patternFill>
    </fill>
    <fill>
      <patternFill patternType="solid">
        <fgColor rgb="FFFF0000"/>
        <bgColor rgb="FFFF0000"/>
      </patternFill>
    </fill>
    <fill>
      <patternFill patternType="solid">
        <fgColor rgb="FFFFCC99"/>
        <bgColor rgb="FFFFCC99"/>
      </patternFill>
    </fill>
    <fill>
      <patternFill patternType="solid">
        <fgColor rgb="FF800000"/>
        <bgColor rgb="FF800000"/>
      </patternFill>
    </fill>
    <fill>
      <patternFill patternType="solid">
        <fgColor rgb="FFFFCC00"/>
        <bgColor rgb="FFFFCC00"/>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border>
    <border>
      <left/>
      <right/>
      <top/>
      <bottom/>
    </border>
    <border>
      <left style="thin">
        <color rgb="FF000000"/>
      </left>
      <right style="thin">
        <color rgb="FF000000"/>
      </right>
      <top/>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xf>
    <xf borderId="0" fillId="0" fontId="3" numFmtId="0" xfId="0" applyFont="1"/>
    <xf borderId="2" fillId="0" fontId="4" numFmtId="0" xfId="0" applyAlignment="1" applyBorder="1" applyFont="1">
      <alignment horizontal="center"/>
    </xf>
    <xf borderId="3" fillId="0" fontId="5" numFmtId="0" xfId="0" applyBorder="1" applyFont="1"/>
    <xf borderId="0" fillId="0" fontId="4" numFmtId="0" xfId="0" applyFont="1"/>
    <xf borderId="1" fillId="0" fontId="4" numFmtId="0" xfId="0" applyBorder="1" applyFont="1"/>
    <xf borderId="4" fillId="0" fontId="5" numFmtId="0" xfId="0" applyBorder="1" applyFont="1"/>
    <xf borderId="1" fillId="0" fontId="2" numFmtId="0" xfId="0" applyBorder="1" applyFont="1"/>
    <xf borderId="0" fillId="0" fontId="2" numFmtId="0" xfId="0" applyFont="1"/>
    <xf borderId="0" fillId="0" fontId="3" numFmtId="0" xfId="0" applyAlignment="1" applyFont="1">
      <alignment horizontal="center" vertical="center"/>
    </xf>
    <xf borderId="1" fillId="0" fontId="3" numFmtId="0" xfId="0" applyAlignment="1" applyBorder="1" applyFont="1">
      <alignment horizontal="center"/>
    </xf>
    <xf borderId="1" fillId="0" fontId="3" numFmtId="1" xfId="0" applyAlignment="1" applyBorder="1" applyFont="1" applyNumberFormat="1">
      <alignment horizontal="center"/>
    </xf>
    <xf borderId="0" fillId="0" fontId="6" numFmtId="0" xfId="0" applyFont="1"/>
    <xf borderId="5" fillId="0" fontId="7" numFmtId="0" xfId="0" applyAlignment="1" applyBorder="1" applyFont="1">
      <alignment horizontal="center"/>
    </xf>
    <xf borderId="0" fillId="0" fontId="8" numFmtId="0" xfId="0" applyAlignment="1" applyFont="1">
      <alignment horizontal="center"/>
    </xf>
    <xf borderId="0" fillId="0" fontId="7" numFmtId="0" xfId="0" applyFont="1"/>
    <xf borderId="1" fillId="0" fontId="7" numFmtId="0" xfId="0" applyAlignment="1" applyBorder="1" applyFont="1">
      <alignment horizontal="center"/>
    </xf>
    <xf borderId="1" fillId="0" fontId="7" numFmtId="0" xfId="0" applyAlignment="1" applyBorder="1" applyFont="1">
      <alignment horizontal="center" shrinkToFit="0" wrapText="1"/>
    </xf>
    <xf borderId="0" fillId="0" fontId="7" numFmtId="0" xfId="0" applyAlignment="1" applyFont="1">
      <alignment horizontal="center"/>
    </xf>
    <xf borderId="1" fillId="0" fontId="3" numFmtId="0" xfId="0" applyAlignment="1" applyBorder="1" applyFont="1">
      <alignment shrinkToFit="0" wrapText="1"/>
    </xf>
    <xf borderId="6" fillId="0" fontId="3" numFmtId="0" xfId="0" applyAlignment="1" applyBorder="1" applyFont="1">
      <alignment shrinkToFit="0" wrapText="1"/>
    </xf>
    <xf borderId="1" fillId="0" fontId="3" numFmtId="0" xfId="0" applyBorder="1" applyFont="1"/>
    <xf borderId="1" fillId="0" fontId="3" numFmtId="164" xfId="0" applyBorder="1" applyFont="1" applyNumberFormat="1"/>
    <xf borderId="6" fillId="0" fontId="3" numFmtId="164" xfId="0" applyBorder="1" applyFont="1" applyNumberFormat="1"/>
    <xf borderId="1" fillId="2" fontId="9" numFmtId="0" xfId="0" applyAlignment="1" applyBorder="1" applyFill="1" applyFont="1">
      <alignment horizontal="center"/>
    </xf>
    <xf borderId="1" fillId="3" fontId="7" numFmtId="0" xfId="0" applyAlignment="1" applyBorder="1" applyFill="1" applyFont="1">
      <alignment horizontal="center"/>
    </xf>
    <xf borderId="1" fillId="4" fontId="7" numFmtId="0" xfId="0" applyAlignment="1" applyBorder="1" applyFill="1" applyFont="1">
      <alignment horizontal="center"/>
    </xf>
    <xf borderId="1" fillId="5" fontId="7" numFmtId="0" xfId="0" applyAlignment="1" applyBorder="1" applyFill="1" applyFont="1">
      <alignment horizontal="center"/>
    </xf>
    <xf borderId="1" fillId="6" fontId="7" numFmtId="0" xfId="0" applyAlignment="1" applyBorder="1" applyFill="1" applyFont="1">
      <alignment horizontal="center"/>
    </xf>
    <xf borderId="1" fillId="3" fontId="3" numFmtId="0" xfId="0" applyAlignment="1" applyBorder="1" applyFont="1">
      <alignment horizontal="center"/>
    </xf>
    <xf borderId="1" fillId="4" fontId="3" numFmtId="0" xfId="0" applyAlignment="1" applyBorder="1" applyFont="1">
      <alignment horizontal="center"/>
    </xf>
    <xf borderId="1" fillId="5" fontId="3" numFmtId="0" xfId="0" applyAlignment="1" applyBorder="1" applyFont="1">
      <alignment horizontal="center"/>
    </xf>
    <xf borderId="1" fillId="6" fontId="3" numFmtId="0" xfId="0" applyAlignment="1" applyBorder="1" applyFont="1">
      <alignment horizontal="center"/>
    </xf>
    <xf borderId="1" fillId="0" fontId="10" numFmtId="49" xfId="0" applyAlignment="1" applyBorder="1" applyFont="1" applyNumberFormat="1">
      <alignment horizontal="left"/>
    </xf>
    <xf borderId="2" fillId="7" fontId="11" numFmtId="0" xfId="0" applyAlignment="1" applyBorder="1" applyFill="1" applyFont="1">
      <alignment horizontal="center"/>
    </xf>
    <xf borderId="0" fillId="0" fontId="12" numFmtId="0" xfId="0" applyFont="1"/>
    <xf borderId="1" fillId="8" fontId="2" numFmtId="0" xfId="0" applyBorder="1" applyFill="1" applyFont="1"/>
    <xf borderId="1" fillId="8" fontId="2" numFmtId="165" xfId="0" applyBorder="1" applyFont="1" applyNumberFormat="1"/>
    <xf borderId="1" fillId="6" fontId="2" numFmtId="0" xfId="0" applyBorder="1" applyFont="1"/>
    <xf borderId="1" fillId="6" fontId="2" numFmtId="165" xfId="0" applyBorder="1" applyFont="1" applyNumberFormat="1"/>
    <xf borderId="0" fillId="0" fontId="8" numFmtId="166" xfId="0" applyFont="1" applyNumberFormat="1"/>
    <xf borderId="1" fillId="2" fontId="13" numFmtId="0" xfId="0" applyAlignment="1" applyBorder="1" applyFont="1">
      <alignment horizontal="center"/>
    </xf>
    <xf borderId="1" fillId="5" fontId="10" numFmtId="49" xfId="0" applyAlignment="1" applyBorder="1" applyFont="1" applyNumberFormat="1">
      <alignment horizontal="center"/>
    </xf>
    <xf borderId="1" fillId="5" fontId="10" numFmtId="49" xfId="0" applyAlignment="1" applyBorder="1" applyFont="1" applyNumberFormat="1">
      <alignment horizontal="left"/>
    </xf>
    <xf borderId="1" fillId="5" fontId="14" numFmtId="1" xfId="0" applyAlignment="1" applyBorder="1" applyFont="1" applyNumberFormat="1">
      <alignment horizontal="center"/>
    </xf>
    <xf borderId="1" fillId="5" fontId="14" numFmtId="0" xfId="0" applyAlignment="1" applyBorder="1" applyFont="1">
      <alignment horizontal="center"/>
    </xf>
    <xf borderId="1" fillId="5" fontId="14" numFmtId="0" xfId="0" applyBorder="1" applyFont="1"/>
    <xf borderId="1" fillId="0" fontId="7" numFmtId="1" xfId="0" applyAlignment="1" applyBorder="1" applyFont="1" applyNumberFormat="1">
      <alignment horizontal="center"/>
    </xf>
    <xf borderId="1" fillId="4" fontId="3" numFmtId="49" xfId="0" applyAlignment="1" applyBorder="1" applyFont="1" applyNumberFormat="1">
      <alignment horizontal="center"/>
    </xf>
    <xf borderId="1" fillId="0" fontId="7" numFmtId="1" xfId="0" applyBorder="1" applyFont="1" applyNumberFormat="1"/>
    <xf borderId="1" fillId="4" fontId="7" numFmtId="0" xfId="0" applyBorder="1" applyFont="1"/>
    <xf borderId="1" fillId="4" fontId="15" numFmtId="0" xfId="0" applyAlignment="1" applyBorder="1" applyFont="1">
      <alignment shrinkToFit="0" wrapText="1"/>
    </xf>
    <xf borderId="1" fillId="0" fontId="15" numFmtId="0" xfId="0" applyAlignment="1" applyBorder="1" applyFont="1">
      <alignment shrinkToFit="0" wrapText="1"/>
    </xf>
    <xf borderId="1" fillId="0" fontId="7" numFmtId="0" xfId="0" applyBorder="1" applyFont="1"/>
    <xf borderId="0" fillId="0" fontId="3" numFmtId="167" xfId="0" applyFont="1" applyNumberFormat="1"/>
    <xf borderId="1" fillId="0" fontId="7" numFmtId="168" xfId="0" applyAlignment="1" applyBorder="1" applyFont="1" applyNumberFormat="1">
      <alignment horizontal="center"/>
    </xf>
    <xf borderId="1" fillId="0" fontId="7" numFmtId="167" xfId="0" applyAlignment="1" applyBorder="1" applyFont="1" applyNumberFormat="1">
      <alignment horizontal="center"/>
    </xf>
    <xf borderId="7" fillId="4" fontId="7" numFmtId="0" xfId="0" applyAlignment="1" applyBorder="1" applyFont="1">
      <alignment horizontal="center"/>
    </xf>
    <xf borderId="8" fillId="4" fontId="7" numFmtId="0" xfId="0" applyAlignment="1" applyBorder="1" applyFont="1">
      <alignment horizontal="center"/>
    </xf>
    <xf borderId="9" fillId="6" fontId="7" numFmtId="49" xfId="0" applyAlignment="1" applyBorder="1" applyFont="1" applyNumberFormat="1">
      <alignment horizontal="center"/>
    </xf>
    <xf borderId="1" fillId="0" fontId="7" numFmtId="2" xfId="0" applyAlignment="1" applyBorder="1" applyFont="1" applyNumberFormat="1">
      <alignment horizontal="center"/>
    </xf>
    <xf borderId="0" fillId="0" fontId="16" numFmtId="0" xfId="0" applyFont="1"/>
    <xf borderId="1" fillId="4" fontId="17" numFmtId="0" xfId="0" applyAlignment="1" applyBorder="1" applyFont="1">
      <alignment horizontal="left"/>
    </xf>
    <xf borderId="1" fillId="0" fontId="8" numFmtId="0" xfId="0" applyBorder="1" applyFont="1"/>
    <xf borderId="10" fillId="0" fontId="8" numFmtId="0" xfId="0" applyAlignment="1" applyBorder="1" applyFont="1">
      <alignment horizontal="center" vertical="center"/>
    </xf>
    <xf borderId="11" fillId="0" fontId="5" numFmtId="0" xfId="0" applyBorder="1" applyFont="1"/>
    <xf borderId="12" fillId="0" fontId="5" numFmtId="0" xfId="0" applyBorder="1" applyFont="1"/>
    <xf borderId="1" fillId="4" fontId="17" numFmtId="0" xfId="0" applyBorder="1" applyFont="1"/>
    <xf borderId="6" fillId="0" fontId="5" numFmtId="0" xfId="0" applyBorder="1" applyFont="1"/>
    <xf borderId="13" fillId="0" fontId="5" numFmtId="0" xfId="0" applyBorder="1" applyFont="1"/>
    <xf borderId="14" fillId="0" fontId="5" numFmtId="0" xfId="0" applyBorder="1" applyFont="1"/>
    <xf borderId="15" fillId="0" fontId="5" numFmtId="0" xfId="0" applyBorder="1" applyFont="1"/>
    <xf borderId="16" fillId="0" fontId="5" numFmtId="0" xfId="0" applyBorder="1" applyFont="1"/>
    <xf borderId="0" fillId="0" fontId="8" numFmtId="0" xfId="0" applyAlignment="1" applyFont="1">
      <alignment horizontal="center" shrinkToFit="0" vertical="center" wrapText="1"/>
    </xf>
    <xf borderId="0" fillId="0" fontId="7" numFmtId="0" xfId="0" applyAlignment="1" applyFont="1">
      <alignment horizontal="left"/>
    </xf>
    <xf borderId="1" fillId="9" fontId="18" numFmtId="0" xfId="0" applyAlignment="1" applyBorder="1" applyFill="1" applyFont="1">
      <alignment horizontal="center" vertical="center"/>
    </xf>
    <xf borderId="1" fillId="9" fontId="18" numFmtId="1" xfId="0" applyAlignment="1" applyBorder="1" applyFont="1" applyNumberFormat="1">
      <alignment horizontal="center" vertical="center"/>
    </xf>
    <xf borderId="17" fillId="9" fontId="18" numFmtId="0" xfId="0" applyAlignment="1" applyBorder="1" applyFont="1">
      <alignment horizontal="center" vertical="center"/>
    </xf>
    <xf borderId="0" fillId="0" fontId="19" numFmtId="0" xfId="0" applyFont="1"/>
    <xf borderId="1" fillId="0" fontId="19" numFmtId="0" xfId="0" applyBorder="1" applyFont="1"/>
    <xf borderId="1" fillId="0" fontId="19" numFmtId="1" xfId="0" applyAlignment="1" applyBorder="1" applyFont="1" applyNumberFormat="1">
      <alignment horizontal="center"/>
    </xf>
    <xf borderId="1" fillId="0" fontId="19" numFmtId="169" xfId="0" applyBorder="1" applyFont="1" applyNumberFormat="1"/>
    <xf borderId="2" fillId="0" fontId="19" numFmtId="170" xfId="0" applyBorder="1" applyFont="1" applyNumberFormat="1"/>
    <xf borderId="1" fillId="0" fontId="19" numFmtId="167" xfId="0" applyBorder="1" applyFont="1" applyNumberFormat="1"/>
    <xf borderId="0" fillId="0" fontId="20" numFmtId="0" xfId="0" applyAlignment="1" applyFont="1">
      <alignment shrinkToFit="0" wrapText="1"/>
    </xf>
    <xf borderId="1" fillId="0" fontId="19" numFmtId="170" xfId="0" applyBorder="1" applyFont="1" applyNumberFormat="1"/>
    <xf borderId="18" fillId="0" fontId="19" numFmtId="0" xfId="0" applyBorder="1" applyFont="1"/>
    <xf borderId="0" fillId="0" fontId="20" numFmtId="0" xfId="0" applyAlignment="1" applyFont="1">
      <alignment horizontal="left" shrinkToFit="0" vertical="top" wrapText="1"/>
    </xf>
    <xf borderId="0" fillId="0" fontId="19" numFmtId="1" xfId="0" applyFont="1" applyNumberFormat="1"/>
    <xf borderId="1" fillId="10" fontId="21" numFmtId="0" xfId="0" applyAlignment="1" applyBorder="1" applyFill="1" applyFont="1">
      <alignment horizontal="center"/>
    </xf>
  </cellXfs>
  <cellStyles count="1">
    <cellStyle xfId="0" name="Normal" builtinId="0"/>
  </cellStyles>
  <dxfs count="2">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666750</xdr:colOff>
      <xdr:row>2</xdr:row>
      <xdr:rowOff>266700</xdr:rowOff>
    </xdr:from>
    <xdr:ext cx="57150" cy="314325"/>
    <xdr:grpSp>
      <xdr:nvGrpSpPr>
        <xdr:cNvPr id="2" name="Shape 2"/>
        <xdr:cNvGrpSpPr/>
      </xdr:nvGrpSpPr>
      <xdr:grpSpPr>
        <a:xfrm>
          <a:off x="5317425" y="3622838"/>
          <a:ext cx="57150" cy="314325"/>
          <a:chOff x="5317425" y="3622838"/>
          <a:chExt cx="57150" cy="314325"/>
        </a:xfrm>
      </xdr:grpSpPr>
      <xdr:cxnSp>
        <xdr:nvCxnSpPr>
          <xdr:cNvPr id="3" name="Shape 3"/>
          <xdr:cNvCxnSpPr/>
        </xdr:nvCxnSpPr>
        <xdr:spPr>
          <a:xfrm rot="10800000">
            <a:off x="5317425" y="3622838"/>
            <a:ext cx="57150" cy="314325"/>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4</xdr:col>
      <xdr:colOff>57150</xdr:colOff>
      <xdr:row>9</xdr:row>
      <xdr:rowOff>123825</xdr:rowOff>
    </xdr:from>
    <xdr:ext cx="4591050" cy="1066800"/>
    <xdr:sp>
      <xdr:nvSpPr>
        <xdr:cNvPr id="4" name="Shape 4"/>
        <xdr:cNvSpPr txBox="1"/>
      </xdr:nvSpPr>
      <xdr:spPr>
        <a:xfrm>
          <a:off x="3050475" y="3246600"/>
          <a:ext cx="4591050" cy="10668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0" lIns="36575" spcFirstLastPara="1" rIns="0" wrap="square" tIns="32000">
          <a:noAutofit/>
        </a:bodyPr>
        <a:lstStyle/>
        <a:p>
          <a:pPr indent="0" lvl="0" marL="0" rtl="0" algn="l">
            <a:spcBef>
              <a:spcPts val="0"/>
            </a:spcBef>
            <a:spcAft>
              <a:spcPts val="0"/>
            </a:spcAft>
            <a:buNone/>
          </a:pPr>
          <a:r>
            <a:rPr b="0" i="0" lang="en-US" sz="1600" u="none" strike="noStrike">
              <a:solidFill>
                <a:srgbClr val="000000"/>
              </a:solidFill>
              <a:latin typeface="Arimo"/>
              <a:ea typeface="Arimo"/>
              <a:cs typeface="Arimo"/>
              <a:sym typeface="Arimo"/>
            </a:rPr>
            <a:t>MESAİ SÜRESİ 10 SAAT VE ÜZERİ İSE SAAT ÜCRETİ 30, DEĞİL İSE 20</a:t>
          </a:r>
          <a:endParaRPr sz="1400"/>
        </a:p>
        <a:p>
          <a:pPr indent="0" lvl="0" marL="0" rtl="0" algn="l">
            <a:spcBef>
              <a:spcPts val="0"/>
            </a:spcBef>
            <a:spcAft>
              <a:spcPts val="0"/>
            </a:spcAft>
            <a:buNone/>
          </a:pPr>
          <a:r>
            <a:t/>
          </a:r>
          <a:endParaRPr b="0" i="0" sz="1600" u="none" strike="noStrike">
            <a:solidFill>
              <a:srgbClr val="000000"/>
            </a:solidFill>
            <a:latin typeface="Arimo"/>
            <a:ea typeface="Arimo"/>
            <a:cs typeface="Arimo"/>
            <a:sym typeface="Arimo"/>
          </a:endParaRPr>
        </a:p>
        <a:p>
          <a:pPr indent="0" lvl="0" marL="0" marR="0" rtl="0" algn="l">
            <a:lnSpc>
              <a:spcPct val="100000"/>
            </a:lnSpc>
            <a:spcBef>
              <a:spcPts val="0"/>
            </a:spcBef>
            <a:spcAft>
              <a:spcPts val="0"/>
            </a:spcAft>
            <a:buSzPts val="1000"/>
            <a:buFont typeface="Arial"/>
            <a:buNone/>
          </a:pPr>
          <a:r>
            <a:t/>
          </a:r>
          <a:endParaRPr b="0" i="0" sz="1000">
            <a:latin typeface="Calibri"/>
            <a:ea typeface="Calibri"/>
            <a:cs typeface="Calibri"/>
            <a:sym typeface="Calibri"/>
          </a:endParaRPr>
        </a:p>
      </xdr:txBody>
    </xdr:sp>
    <xdr:clientData fLocksWithSheet="0"/>
  </xdr:oneCellAnchor>
  <xdr:oneCellAnchor>
    <xdr:from>
      <xdr:col>0</xdr:col>
      <xdr:colOff>0</xdr:colOff>
      <xdr:row>4</xdr:row>
      <xdr:rowOff>142875</xdr:rowOff>
    </xdr:from>
    <xdr:ext cx="10029825" cy="714375"/>
    <xdr:sp>
      <xdr:nvSpPr>
        <xdr:cNvPr id="5" name="Shape 5"/>
        <xdr:cNvSpPr txBox="1"/>
      </xdr:nvSpPr>
      <xdr:spPr>
        <a:xfrm>
          <a:off x="335850" y="3427575"/>
          <a:ext cx="10020300" cy="7048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600">
              <a:solidFill>
                <a:schemeClr val="dk1"/>
              </a:solidFill>
              <a:latin typeface="Calibri"/>
              <a:ea typeface="Calibri"/>
              <a:cs typeface="Calibri"/>
              <a:sym typeface="Calibri"/>
            </a:rPr>
            <a:t>=</a:t>
          </a:r>
          <a:r>
            <a:rPr b="1" lang="en-US" sz="1600">
              <a:solidFill>
                <a:schemeClr val="dk1"/>
              </a:solidFill>
              <a:latin typeface="Calibri"/>
              <a:ea typeface="Calibri"/>
              <a:cs typeface="Calibri"/>
              <a:sym typeface="Calibri"/>
            </a:rPr>
            <a:t>EĞER(</a:t>
          </a:r>
          <a:r>
            <a:rPr b="1" lang="en-US" sz="1600">
              <a:solidFill>
                <a:srgbClr val="00B0F0"/>
              </a:solidFill>
              <a:latin typeface="Calibri"/>
              <a:ea typeface="Calibri"/>
              <a:cs typeface="Calibri"/>
              <a:sym typeface="Calibri"/>
            </a:rPr>
            <a:t>KOŞUL</a:t>
          </a:r>
          <a:r>
            <a:rPr b="1" lang="en-US" sz="1600">
              <a:solidFill>
                <a:schemeClr val="dk1"/>
              </a:solidFill>
              <a:latin typeface="Calibri"/>
              <a:ea typeface="Calibri"/>
              <a:cs typeface="Calibri"/>
              <a:sym typeface="Calibri"/>
            </a:rPr>
            <a:t>;</a:t>
          </a:r>
          <a:r>
            <a:rPr b="1" lang="en-US" sz="1600">
              <a:solidFill>
                <a:srgbClr val="00B050"/>
              </a:solidFill>
              <a:latin typeface="Calibri"/>
              <a:ea typeface="Calibri"/>
              <a:cs typeface="Calibri"/>
              <a:sym typeface="Calibri"/>
            </a:rPr>
            <a:t> KOŞUL SAĞLANIYORSA YAPILACAK İŞLEM;</a:t>
          </a:r>
          <a:r>
            <a:rPr b="1" lang="en-US" sz="1600">
              <a:solidFill>
                <a:schemeClr val="dk1"/>
              </a:solidFill>
              <a:latin typeface="Calibri"/>
              <a:ea typeface="Calibri"/>
              <a:cs typeface="Calibri"/>
              <a:sym typeface="Calibri"/>
            </a:rPr>
            <a:t> </a:t>
          </a:r>
          <a:r>
            <a:rPr b="1" lang="en-US" sz="1600">
              <a:solidFill>
                <a:srgbClr val="FF0000"/>
              </a:solidFill>
              <a:latin typeface="Calibri"/>
              <a:ea typeface="Calibri"/>
              <a:cs typeface="Calibri"/>
              <a:sym typeface="Calibri"/>
            </a:rPr>
            <a:t>KOŞUL SAĞLANMIYORSA YAPILACAK İŞLEM</a:t>
          </a:r>
          <a:r>
            <a:rPr b="1" lang="en-US" sz="1600">
              <a:solidFill>
                <a:schemeClr val="dk1"/>
              </a:solidFill>
              <a:latin typeface="Calibri"/>
              <a:ea typeface="Calibri"/>
              <a:cs typeface="Calibri"/>
              <a:sym typeface="Calibri"/>
            </a:rPr>
            <a:t>)</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10</xdr:row>
      <xdr:rowOff>66675</xdr:rowOff>
    </xdr:from>
    <xdr:ext cx="3467100" cy="923925"/>
    <xdr:sp>
      <xdr:nvSpPr>
        <xdr:cNvPr id="6" name="Shape 6"/>
        <xdr:cNvSpPr txBox="1"/>
      </xdr:nvSpPr>
      <xdr:spPr>
        <a:xfrm>
          <a:off x="3612450" y="3318038"/>
          <a:ext cx="3467100" cy="92392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0" lIns="45700" spcFirstLastPara="1" rIns="0" wrap="square" tIns="36575">
          <a:noAutofit/>
        </a:bodyPr>
        <a:lstStyle/>
        <a:p>
          <a:pPr indent="0" lvl="0" marL="0" rtl="0" algn="l">
            <a:spcBef>
              <a:spcPts val="0"/>
            </a:spcBef>
            <a:spcAft>
              <a:spcPts val="0"/>
            </a:spcAft>
            <a:buNone/>
          </a:pPr>
          <a:r>
            <a:rPr b="0" i="0" lang="en-US" sz="1800" u="none" strike="noStrike">
              <a:solidFill>
                <a:srgbClr val="000000"/>
              </a:solidFill>
              <a:latin typeface="Arimo"/>
              <a:ea typeface="Arimo"/>
              <a:cs typeface="Arimo"/>
              <a:sym typeface="Arimo"/>
            </a:rPr>
            <a:t>170 ÜSTÜ UZUN</a:t>
          </a:r>
          <a:endParaRPr sz="1400"/>
        </a:p>
        <a:p>
          <a:pPr indent="0" lvl="0" marL="0" rtl="0" algn="l">
            <a:spcBef>
              <a:spcPts val="0"/>
            </a:spcBef>
            <a:spcAft>
              <a:spcPts val="0"/>
            </a:spcAft>
            <a:buNone/>
          </a:pPr>
          <a:r>
            <a:rPr b="0" i="0" lang="en-US" sz="1800" u="none" strike="noStrike">
              <a:solidFill>
                <a:srgbClr val="000000"/>
              </a:solidFill>
              <a:latin typeface="Arimo"/>
              <a:ea typeface="Arimo"/>
              <a:cs typeface="Arimo"/>
              <a:sym typeface="Arimo"/>
            </a:rPr>
            <a:t>170 ALTI KISA</a:t>
          </a:r>
          <a:endParaRPr sz="1400"/>
        </a:p>
      </xdr:txBody>
    </xdr:sp>
    <xdr:clientData fLocksWithSheet="0"/>
  </xdr:oneCellAnchor>
  <xdr:oneCellAnchor>
    <xdr:from>
      <xdr:col>2</xdr:col>
      <xdr:colOff>438150</xdr:colOff>
      <xdr:row>1</xdr:row>
      <xdr:rowOff>200025</xdr:rowOff>
    </xdr:from>
    <xdr:ext cx="533400" cy="1285875"/>
    <xdr:grpSp>
      <xdr:nvGrpSpPr>
        <xdr:cNvPr id="2" name="Shape 2"/>
        <xdr:cNvGrpSpPr/>
      </xdr:nvGrpSpPr>
      <xdr:grpSpPr>
        <a:xfrm>
          <a:off x="5084063" y="3141825"/>
          <a:ext cx="523875" cy="1276350"/>
          <a:chOff x="5084063" y="3141825"/>
          <a:chExt cx="523875" cy="1276350"/>
        </a:xfrm>
      </xdr:grpSpPr>
      <xdr:cxnSp>
        <xdr:nvCxnSpPr>
          <xdr:cNvPr id="7" name="Shape 7"/>
          <xdr:cNvCxnSpPr/>
        </xdr:nvCxnSpPr>
        <xdr:spPr>
          <a:xfrm flipH="1" rot="10800000">
            <a:off x="5084063" y="3141825"/>
            <a:ext cx="523875" cy="127635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3</xdr:col>
      <xdr:colOff>685800</xdr:colOff>
      <xdr:row>10</xdr:row>
      <xdr:rowOff>66675</xdr:rowOff>
    </xdr:from>
    <xdr:ext cx="5753100" cy="1409700"/>
    <xdr:sp>
      <xdr:nvSpPr>
        <xdr:cNvPr id="8" name="Shape 8"/>
        <xdr:cNvSpPr txBox="1"/>
      </xdr:nvSpPr>
      <xdr:spPr>
        <a:xfrm>
          <a:off x="2474213" y="3075150"/>
          <a:ext cx="5743575" cy="14097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0" lIns="36575" spcFirstLastPara="1" rIns="0" wrap="square" tIns="32000">
          <a:noAutofit/>
        </a:bodyPr>
        <a:lstStyle/>
        <a:p>
          <a:pPr indent="0" lvl="0" marL="0" rtl="0" algn="l">
            <a:spcBef>
              <a:spcPts val="0"/>
            </a:spcBef>
            <a:spcAft>
              <a:spcPts val="0"/>
            </a:spcAft>
            <a:buNone/>
          </a:pPr>
          <a:r>
            <a:rPr b="0" i="0" lang="en-US" sz="1600" u="none" strike="noStrike">
              <a:solidFill>
                <a:srgbClr val="000000"/>
              </a:solidFill>
              <a:latin typeface="Arimo"/>
              <a:ea typeface="Arimo"/>
              <a:cs typeface="Arimo"/>
              <a:sym typeface="Arimo"/>
            </a:rPr>
            <a:t>170 ALTI KISA</a:t>
          </a:r>
          <a:endParaRPr sz="1400"/>
        </a:p>
        <a:p>
          <a:pPr indent="0" lvl="0" marL="0" rtl="0" algn="l">
            <a:spcBef>
              <a:spcPts val="0"/>
            </a:spcBef>
            <a:spcAft>
              <a:spcPts val="0"/>
            </a:spcAft>
            <a:buNone/>
          </a:pPr>
          <a:r>
            <a:rPr b="0" i="0" lang="en-US" sz="1600" u="none" strike="noStrike">
              <a:solidFill>
                <a:srgbClr val="000000"/>
              </a:solidFill>
              <a:latin typeface="Arimo"/>
              <a:ea typeface="Arimo"/>
              <a:cs typeface="Arimo"/>
              <a:sym typeface="Arimo"/>
            </a:rPr>
            <a:t>170-180 ARASI ORTA</a:t>
          </a:r>
          <a:endParaRPr sz="1400"/>
        </a:p>
        <a:p>
          <a:pPr indent="0" lvl="0" marL="0" rtl="0" algn="l">
            <a:spcBef>
              <a:spcPts val="0"/>
            </a:spcBef>
            <a:spcAft>
              <a:spcPts val="0"/>
            </a:spcAft>
            <a:buNone/>
          </a:pPr>
          <a:r>
            <a:rPr b="0" i="0" lang="en-US" sz="1600" u="none" strike="noStrike">
              <a:solidFill>
                <a:srgbClr val="000000"/>
              </a:solidFill>
              <a:latin typeface="Arimo"/>
              <a:ea typeface="Arimo"/>
              <a:cs typeface="Arimo"/>
              <a:sym typeface="Arimo"/>
            </a:rPr>
            <a:t>180 ÜSTÜ UZUN</a:t>
          </a:r>
          <a:endParaRPr sz="1400"/>
        </a:p>
      </xdr:txBody>
    </xdr:sp>
    <xdr:clientData fLocksWithSheet="0"/>
  </xdr:oneCellAnchor>
  <xdr:oneCellAnchor>
    <xdr:from>
      <xdr:col>4</xdr:col>
      <xdr:colOff>1352550</xdr:colOff>
      <xdr:row>1</xdr:row>
      <xdr:rowOff>180975</xdr:rowOff>
    </xdr:from>
    <xdr:ext cx="133350" cy="1266825"/>
    <xdr:grpSp>
      <xdr:nvGrpSpPr>
        <xdr:cNvPr id="2" name="Shape 2"/>
        <xdr:cNvGrpSpPr/>
      </xdr:nvGrpSpPr>
      <xdr:grpSpPr>
        <a:xfrm>
          <a:off x="5279325" y="3151350"/>
          <a:ext cx="133350" cy="1257300"/>
          <a:chOff x="5279325" y="3151350"/>
          <a:chExt cx="133350" cy="1257300"/>
        </a:xfrm>
      </xdr:grpSpPr>
      <xdr:cxnSp>
        <xdr:nvCxnSpPr>
          <xdr:cNvPr id="9" name="Shape 9"/>
          <xdr:cNvCxnSpPr/>
        </xdr:nvCxnSpPr>
        <xdr:spPr>
          <a:xfrm flipH="1" rot="10800000">
            <a:off x="5279325" y="3151350"/>
            <a:ext cx="133350" cy="125730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0</xdr:row>
      <xdr:rowOff>95250</xdr:rowOff>
    </xdr:from>
    <xdr:ext cx="7029450" cy="1457325"/>
    <xdr:sp>
      <xdr:nvSpPr>
        <xdr:cNvPr id="10" name="Shape 10"/>
        <xdr:cNvSpPr txBox="1"/>
      </xdr:nvSpPr>
      <xdr:spPr>
        <a:xfrm>
          <a:off x="1836038" y="3056100"/>
          <a:ext cx="7019925" cy="14478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600">
              <a:solidFill>
                <a:schemeClr val="dk1"/>
              </a:solidFill>
              <a:latin typeface="Calibri"/>
              <a:ea typeface="Calibri"/>
              <a:cs typeface="Calibri"/>
              <a:sym typeface="Calibri"/>
            </a:rPr>
            <a:t>TÜM TURLARDA 10 PUANI GEÇERSE BAŞARILI;GEÇEMEZ İSE BAŞARISIZ</a:t>
          </a:r>
          <a:endParaRPr sz="1400"/>
        </a:p>
        <a:p>
          <a:pPr indent="0" lvl="0" marL="0" rtl="0" algn="l">
            <a:spcBef>
              <a:spcPts val="0"/>
            </a:spcBef>
            <a:spcAft>
              <a:spcPts val="0"/>
            </a:spcAft>
            <a:buNone/>
          </a:pPr>
          <a:r>
            <a:t/>
          </a:r>
          <a:endParaRPr sz="1600"/>
        </a:p>
        <a:p>
          <a:pPr indent="0" lvl="0" marL="0" rtl="0" algn="l">
            <a:spcBef>
              <a:spcPts val="0"/>
            </a:spcBef>
            <a:spcAft>
              <a:spcPts val="0"/>
            </a:spcAft>
            <a:buNone/>
          </a:pPr>
          <a:r>
            <a:rPr lang="en-US" sz="1600">
              <a:solidFill>
                <a:schemeClr val="dk1"/>
              </a:solidFill>
              <a:latin typeface="Calibri"/>
              <a:ea typeface="Calibri"/>
              <a:cs typeface="Calibri"/>
              <a:sym typeface="Calibri"/>
            </a:rPr>
            <a:t>VE İLE YADA  FONKSİYONU BİRDEN FAZLA KOŞULU BİR ARADA DEĞERLENDİRMEK İÇİN KULLANILIR. KOŞULLAR BİRBİRİNDEN FARKLI OLABİLİR.</a:t>
          </a:r>
          <a:endParaRPr sz="1400"/>
        </a:p>
      </xdr:txBody>
    </xdr:sp>
    <xdr:clientData fLocksWithSheet="0"/>
  </xdr:oneCellAnchor>
  <xdr:oneCellAnchor>
    <xdr:from>
      <xdr:col>1</xdr:col>
      <xdr:colOff>466725</xdr:colOff>
      <xdr:row>17</xdr:row>
      <xdr:rowOff>47625</xdr:rowOff>
    </xdr:from>
    <xdr:ext cx="6915150" cy="1000125"/>
    <xdr:sp>
      <xdr:nvSpPr>
        <xdr:cNvPr id="11" name="Shape 11"/>
        <xdr:cNvSpPr txBox="1"/>
      </xdr:nvSpPr>
      <xdr:spPr>
        <a:xfrm>
          <a:off x="1893188" y="3284700"/>
          <a:ext cx="6905625" cy="990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600">
              <a:solidFill>
                <a:schemeClr val="dk1"/>
              </a:solidFill>
              <a:latin typeface="Calibri"/>
              <a:ea typeface="Calibri"/>
              <a:cs typeface="Calibri"/>
              <a:sym typeface="Calibri"/>
            </a:rPr>
            <a:t>HERHANGİ</a:t>
          </a:r>
          <a:r>
            <a:rPr lang="en-US" sz="1600">
              <a:solidFill>
                <a:schemeClr val="dk1"/>
              </a:solidFill>
              <a:latin typeface="Calibri"/>
              <a:ea typeface="Calibri"/>
              <a:cs typeface="Calibri"/>
              <a:sym typeface="Calibri"/>
            </a:rPr>
            <a:t> BİR TURDA 10 PUANI GEÇERSE BAŞARILI;</a:t>
          </a:r>
          <a:endParaRPr sz="1400"/>
        </a:p>
        <a:p>
          <a:pPr indent="0" lvl="0" marL="0" rtl="0" algn="l">
            <a:spcBef>
              <a:spcPts val="0"/>
            </a:spcBef>
            <a:spcAft>
              <a:spcPts val="0"/>
            </a:spcAft>
            <a:buNone/>
          </a:pPr>
          <a:r>
            <a:rPr lang="en-US" sz="1600">
              <a:solidFill>
                <a:schemeClr val="dk1"/>
              </a:solidFill>
              <a:latin typeface="Calibri"/>
              <a:ea typeface="Calibri"/>
              <a:cs typeface="Calibri"/>
              <a:sym typeface="Calibri"/>
            </a:rPr>
            <a:t>GEÇEMEZ İSE BAŞARISIZ;</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15</xdr:row>
      <xdr:rowOff>47625</xdr:rowOff>
    </xdr:from>
    <xdr:ext cx="8029575" cy="1933575"/>
    <xdr:sp>
      <xdr:nvSpPr>
        <xdr:cNvPr id="12" name="Shape 12"/>
        <xdr:cNvSpPr txBox="1"/>
      </xdr:nvSpPr>
      <xdr:spPr>
        <a:xfrm>
          <a:off x="1335975" y="2817975"/>
          <a:ext cx="8020050" cy="1924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800"/>
        </a:p>
      </xdr:txBody>
    </xdr:sp>
    <xdr:clientData fLocksWithSheet="0"/>
  </xdr:oneCellAnchor>
  <xdr:oneCellAnchor>
    <xdr:from>
      <xdr:col>4</xdr:col>
      <xdr:colOff>228600</xdr:colOff>
      <xdr:row>12</xdr:row>
      <xdr:rowOff>133350</xdr:rowOff>
    </xdr:from>
    <xdr:ext cx="38100" cy="0"/>
    <xdr:grpSp>
      <xdr:nvGrpSpPr>
        <xdr:cNvPr id="2" name="Shape 2"/>
        <xdr:cNvGrpSpPr/>
      </xdr:nvGrpSpPr>
      <xdr:grpSpPr>
        <a:xfrm>
          <a:off x="5346000" y="3780000"/>
          <a:ext cx="0" cy="0"/>
          <a:chOff x="5346000" y="3780000"/>
          <a:chExt cx="0" cy="0"/>
        </a:xfrm>
      </xdr:grpSpPr>
      <xdr:cxnSp>
        <xdr:nvCxnSpPr>
          <xdr:cNvPr id="13" name="Shape 13"/>
          <xdr:cNvCxnSpPr/>
        </xdr:nvCxnSpPr>
        <xdr:spPr>
          <a:xfrm>
            <a:off x="5346000" y="3780000"/>
            <a:ext cx="0" cy="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8</xdr:col>
      <xdr:colOff>47625</xdr:colOff>
      <xdr:row>0</xdr:row>
      <xdr:rowOff>57150</xdr:rowOff>
    </xdr:from>
    <xdr:ext cx="3400425" cy="3133725"/>
    <xdr:sp>
      <xdr:nvSpPr>
        <xdr:cNvPr id="14" name="Shape 14"/>
        <xdr:cNvSpPr txBox="1"/>
      </xdr:nvSpPr>
      <xdr:spPr>
        <a:xfrm>
          <a:off x="3645788" y="2217900"/>
          <a:ext cx="3400425" cy="31242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YILSONU NOTU= C2*40%+D2*60%   ONDALIK HANE OLMAYACAK ŞEKİLDE YUVARLANACAK</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solidFill>
                <a:schemeClr val="dk1"/>
              </a:solidFill>
              <a:latin typeface="Calibri"/>
              <a:ea typeface="Calibri"/>
              <a:cs typeface="Calibri"/>
              <a:sym typeface="Calibri"/>
            </a:rPr>
            <a:t>DURUM 1: YILSONU</a:t>
          </a:r>
          <a:r>
            <a:rPr lang="en-US" sz="1400">
              <a:solidFill>
                <a:schemeClr val="dk1"/>
              </a:solidFill>
              <a:latin typeface="Calibri"/>
              <a:ea typeface="Calibri"/>
              <a:cs typeface="Calibri"/>
              <a:sym typeface="Calibri"/>
            </a:rPr>
            <a:t> 50 VE ÜSTÜ İSE GEÇTİ, DEĞİLSE KALDI</a:t>
          </a:r>
          <a:endParaRPr sz="1400"/>
        </a:p>
        <a:p>
          <a:pPr indent="0" lvl="0" marL="0" rtl="0" algn="l">
            <a:spcBef>
              <a:spcPts val="0"/>
            </a:spcBef>
            <a:spcAft>
              <a:spcPts val="0"/>
            </a:spcAft>
            <a:buNone/>
          </a:pPr>
          <a:r>
            <a:rPr lang="en-US" sz="1400">
              <a:solidFill>
                <a:schemeClr val="dk1"/>
              </a:solidFill>
              <a:latin typeface="Calibri"/>
              <a:ea typeface="Calibri"/>
              <a:cs typeface="Calibri"/>
              <a:sym typeface="Calibri"/>
            </a:rPr>
            <a:t>DURUM 2: YILSONU VE FİNAL 50 ÜSTÜ İSE GEÇTİ DEĞİLSE KALDI</a:t>
          </a:r>
          <a:endParaRPr sz="1400"/>
        </a:p>
        <a:p>
          <a:pPr indent="0" lvl="0" marL="0" rtl="0" algn="l">
            <a:spcBef>
              <a:spcPts val="0"/>
            </a:spcBef>
            <a:spcAft>
              <a:spcPts val="0"/>
            </a:spcAft>
            <a:buNone/>
          </a:pPr>
          <a:r>
            <a:t/>
          </a:r>
          <a:endParaRPr sz="1400"/>
        </a:p>
        <a:p>
          <a:pPr indent="0" lvl="0" marL="0" marR="0" rtl="0" algn="l">
            <a:lnSpc>
              <a:spcPct val="100000"/>
            </a:lnSpc>
            <a:spcBef>
              <a:spcPts val="0"/>
            </a:spcBef>
            <a:spcAft>
              <a:spcPts val="0"/>
            </a:spcAft>
            <a:buSzPts val="1400"/>
            <a:buFont typeface="Arial"/>
            <a:buNone/>
          </a:pPr>
          <a:r>
            <a:rPr lang="en-US" sz="1400">
              <a:solidFill>
                <a:schemeClr val="dk1"/>
              </a:solidFill>
              <a:latin typeface="Calibri"/>
              <a:ea typeface="Calibri"/>
              <a:cs typeface="Calibri"/>
              <a:sym typeface="Calibri"/>
            </a:rPr>
            <a:t>DURUM 3: FİNAL 50 VE ÜSTÜ, YILSONU İSE ORTALAMA ÜSTÜ İSE GEÇTİ, DEĞİLSE KALDI</a:t>
          </a:r>
          <a:endParaRPr sz="1400"/>
        </a:p>
        <a:p>
          <a:pPr indent="0" lvl="0" marL="0" marR="0" rtl="0" algn="l">
            <a:lnSpc>
              <a:spcPct val="100000"/>
            </a:lnSpc>
            <a:spcBef>
              <a:spcPts val="0"/>
            </a:spcBef>
            <a:spcAft>
              <a:spcPts val="0"/>
            </a:spcAft>
            <a:buSzPts val="1400"/>
            <a:buFont typeface="Arial"/>
            <a:buNone/>
          </a:pPr>
          <a:r>
            <a:t/>
          </a:r>
          <a:endParaRPr sz="14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GEÇTİ  YEŞİL, KALDI KIRMIZI OLACAK ŞEKİLDE KOŞULLU BİÇİMLENDİRME YAPILACAK</a:t>
          </a:r>
          <a:endParaRPr sz="1400"/>
        </a:p>
        <a:p>
          <a:pPr indent="0" lvl="0" marL="0" marR="0" rtl="0" algn="l">
            <a:lnSpc>
              <a:spcPct val="100000"/>
            </a:lnSpc>
            <a:spcBef>
              <a:spcPts val="0"/>
            </a:spcBef>
            <a:spcAft>
              <a:spcPts val="0"/>
            </a:spcAft>
            <a:buSzPts val="1400"/>
            <a:buFont typeface="Arial"/>
            <a:buNone/>
          </a:pPr>
          <a:r>
            <a:t/>
          </a:r>
          <a:endParaRPr sz="14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361950</xdr:colOff>
      <xdr:row>0</xdr:row>
      <xdr:rowOff>276225</xdr:rowOff>
    </xdr:from>
    <xdr:ext cx="152400" cy="180975"/>
    <xdr:grpSp>
      <xdr:nvGrpSpPr>
        <xdr:cNvPr id="2" name="Shape 2"/>
        <xdr:cNvGrpSpPr/>
      </xdr:nvGrpSpPr>
      <xdr:grpSpPr>
        <a:xfrm>
          <a:off x="5269800" y="3694275"/>
          <a:ext cx="152400" cy="171450"/>
          <a:chOff x="5269800" y="3694275"/>
          <a:chExt cx="152400" cy="171450"/>
        </a:xfrm>
      </xdr:grpSpPr>
      <xdr:cxnSp>
        <xdr:nvCxnSpPr>
          <xdr:cNvPr id="15" name="Shape 15"/>
          <xdr:cNvCxnSpPr/>
        </xdr:nvCxnSpPr>
        <xdr:spPr>
          <a:xfrm flipH="1" rot="10800000">
            <a:off x="5269800" y="3694275"/>
            <a:ext cx="152400" cy="17145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2</xdr:col>
      <xdr:colOff>1247775</xdr:colOff>
      <xdr:row>2</xdr:row>
      <xdr:rowOff>161925</xdr:rowOff>
    </xdr:from>
    <xdr:ext cx="914400" cy="142875"/>
    <xdr:grpSp>
      <xdr:nvGrpSpPr>
        <xdr:cNvPr id="2" name="Shape 2"/>
        <xdr:cNvGrpSpPr/>
      </xdr:nvGrpSpPr>
      <xdr:grpSpPr>
        <a:xfrm>
          <a:off x="4893563" y="3713325"/>
          <a:ext cx="904875" cy="133350"/>
          <a:chOff x="4893563" y="3713325"/>
          <a:chExt cx="904875" cy="133350"/>
        </a:xfrm>
      </xdr:grpSpPr>
      <xdr:cxnSp>
        <xdr:nvCxnSpPr>
          <xdr:cNvPr id="16" name="Shape 16"/>
          <xdr:cNvCxnSpPr/>
        </xdr:nvCxnSpPr>
        <xdr:spPr>
          <a:xfrm rot="10800000">
            <a:off x="4893563" y="3713325"/>
            <a:ext cx="904875" cy="13335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1</xdr:col>
      <xdr:colOff>1771650</xdr:colOff>
      <xdr:row>8</xdr:row>
      <xdr:rowOff>133350</xdr:rowOff>
    </xdr:from>
    <xdr:ext cx="2343150" cy="381000"/>
    <xdr:sp>
      <xdr:nvSpPr>
        <xdr:cNvPr id="17" name="Shape 17"/>
        <xdr:cNvSpPr txBox="1"/>
      </xdr:nvSpPr>
      <xdr:spPr>
        <a:xfrm>
          <a:off x="4179188" y="3594263"/>
          <a:ext cx="2333625" cy="37147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0" i="0" lang="en-US" sz="1000" u="none" strike="noStrike">
              <a:solidFill>
                <a:srgbClr val="000000"/>
              </a:solidFill>
              <a:latin typeface="Arimo"/>
              <a:ea typeface="Arimo"/>
              <a:cs typeface="Arimo"/>
              <a:sym typeface="Arimo"/>
            </a:rPr>
            <a:t>HÜCRE BİÇİMLENDİR - SAYI BİÇİMİ GENEL OLARAK BİÇİMLENDİRİLECEK</a:t>
          </a:r>
          <a:endParaRPr sz="1400"/>
        </a:p>
      </xdr:txBody>
    </xdr:sp>
    <xdr:clientData fLocksWithSheet="0"/>
  </xdr:oneCellAnchor>
  <xdr:oneCellAnchor>
    <xdr:from>
      <xdr:col>2</xdr:col>
      <xdr:colOff>285750</xdr:colOff>
      <xdr:row>2</xdr:row>
      <xdr:rowOff>180975</xdr:rowOff>
    </xdr:from>
    <xdr:ext cx="47625" cy="1628775"/>
    <xdr:grpSp>
      <xdr:nvGrpSpPr>
        <xdr:cNvPr id="2" name="Shape 2"/>
        <xdr:cNvGrpSpPr/>
      </xdr:nvGrpSpPr>
      <xdr:grpSpPr>
        <a:xfrm>
          <a:off x="5322188" y="2970375"/>
          <a:ext cx="47625" cy="1619250"/>
          <a:chOff x="5322188" y="2970375"/>
          <a:chExt cx="47625" cy="1619250"/>
        </a:xfrm>
      </xdr:grpSpPr>
      <xdr:cxnSp>
        <xdr:nvCxnSpPr>
          <xdr:cNvPr id="18" name="Shape 18"/>
          <xdr:cNvCxnSpPr/>
        </xdr:nvCxnSpPr>
        <xdr:spPr>
          <a:xfrm flipH="1" rot="10800000">
            <a:off x="5322188" y="2970375"/>
            <a:ext cx="47625" cy="161925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533400</xdr:colOff>
      <xdr:row>0</xdr:row>
      <xdr:rowOff>247650</xdr:rowOff>
    </xdr:from>
    <xdr:ext cx="3333750" cy="704850"/>
    <xdr:sp>
      <xdr:nvSpPr>
        <xdr:cNvPr id="19" name="Shape 19"/>
        <xdr:cNvSpPr txBox="1"/>
      </xdr:nvSpPr>
      <xdr:spPr>
        <a:xfrm>
          <a:off x="3683888" y="3432338"/>
          <a:ext cx="3324225" cy="69532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000000"/>
              </a:solidFill>
              <a:latin typeface="Arimo"/>
              <a:ea typeface="Arimo"/>
              <a:cs typeface="Arimo"/>
              <a:sym typeface="Arimo"/>
            </a:rPr>
            <a:t>NO DEĞERİ DEĞİŞTİRİLİNCE</a:t>
          </a:r>
          <a:endParaRPr sz="1400"/>
        </a:p>
        <a:p>
          <a:pPr indent="0" lvl="0" marL="0" rtl="0" algn="l">
            <a:spcBef>
              <a:spcPts val="0"/>
            </a:spcBef>
            <a:spcAft>
              <a:spcPts val="0"/>
            </a:spcAft>
            <a:buNone/>
          </a:pPr>
          <a:r>
            <a:rPr b="0" i="0" lang="en-US" sz="1400" u="none" strike="noStrike">
              <a:solidFill>
                <a:srgbClr val="000000"/>
              </a:solidFill>
              <a:latin typeface="Arimo"/>
              <a:ea typeface="Arimo"/>
              <a:cs typeface="Arimo"/>
              <a:sym typeface="Arimo"/>
            </a:rPr>
            <a:t>DİĞER ALANLAR DEĞİŞECEK</a:t>
          </a:r>
          <a:endParaRPr sz="1400"/>
        </a:p>
        <a:p>
          <a:pPr indent="0" lvl="0" marL="0" rtl="0" algn="l">
            <a:spcBef>
              <a:spcPts val="0"/>
            </a:spcBef>
            <a:spcAft>
              <a:spcPts val="0"/>
            </a:spcAft>
            <a:buNone/>
          </a:pPr>
          <a:r>
            <a:t/>
          </a:r>
          <a:endParaRPr b="0" i="0" sz="1400" u="none" strike="noStrike">
            <a:solidFill>
              <a:srgbClr val="000000"/>
            </a:solidFill>
            <a:latin typeface="Arimo"/>
            <a:ea typeface="Arimo"/>
            <a:cs typeface="Arimo"/>
            <a:sym typeface="Arimo"/>
          </a:endParaRPr>
        </a:p>
      </xdr:txBody>
    </xdr:sp>
    <xdr:clientData fLocksWithSheet="0"/>
  </xdr:oneCellAnchor>
  <xdr:oneCellAnchor>
    <xdr:from>
      <xdr:col>4</xdr:col>
      <xdr:colOff>180975</xdr:colOff>
      <xdr:row>4</xdr:row>
      <xdr:rowOff>76200</xdr:rowOff>
    </xdr:from>
    <xdr:ext cx="4381500" cy="1809750"/>
    <xdr:sp>
      <xdr:nvSpPr>
        <xdr:cNvPr id="20" name="Shape 20"/>
        <xdr:cNvSpPr txBox="1"/>
      </xdr:nvSpPr>
      <xdr:spPr>
        <a:xfrm>
          <a:off x="3160013" y="2875125"/>
          <a:ext cx="4371975" cy="1809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600">
              <a:solidFill>
                <a:schemeClr val="dk1"/>
              </a:solidFill>
              <a:latin typeface="Calibri"/>
              <a:ea typeface="Calibri"/>
              <a:cs typeface="Calibri"/>
              <a:sym typeface="Calibri"/>
            </a:rPr>
            <a:t>Yandaki tablo da verilen numaraya göre ders ekmelerinden bilgiler otomatik alınıp doldurulacak.</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333375</xdr:colOff>
      <xdr:row>5</xdr:row>
      <xdr:rowOff>419100</xdr:rowOff>
    </xdr:from>
    <xdr:ext cx="2981325" cy="885825"/>
    <xdr:sp>
      <xdr:nvSpPr>
        <xdr:cNvPr id="21" name="Shape 21"/>
        <xdr:cNvSpPr txBox="1"/>
      </xdr:nvSpPr>
      <xdr:spPr>
        <a:xfrm>
          <a:off x="3855338" y="3341850"/>
          <a:ext cx="2981325" cy="876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800">
              <a:solidFill>
                <a:schemeClr val="dk1"/>
              </a:solidFill>
              <a:latin typeface="Calibri"/>
              <a:ea typeface="Calibri"/>
              <a:cs typeface="Calibri"/>
              <a:sym typeface="Calibri"/>
            </a:rPr>
            <a:t>=C8^2-2*C8-3</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86"/>
    <col customWidth="1" min="3" max="3" width="17.14"/>
    <col customWidth="1" min="4" max="4" width="14.0"/>
    <col customWidth="1" min="5" max="5" width="15.14"/>
    <col customWidth="1" min="6" max="6" width="14.0"/>
    <col customWidth="1" min="7" max="26" width="8.71"/>
  </cols>
  <sheetData>
    <row r="1" ht="12.0" customHeight="1">
      <c r="A1" s="1" t="s">
        <v>0</v>
      </c>
      <c r="B1" s="2" t="s">
        <v>1</v>
      </c>
      <c r="C1" s="2" t="s">
        <v>2</v>
      </c>
      <c r="D1" s="2" t="s">
        <v>3</v>
      </c>
      <c r="E1" s="2" t="s">
        <v>4</v>
      </c>
      <c r="F1" s="2" t="s">
        <v>5</v>
      </c>
    </row>
    <row r="2" ht="12.0" customHeight="1">
      <c r="A2" s="2">
        <v>14.0</v>
      </c>
      <c r="B2" s="2">
        <v>7.0</v>
      </c>
      <c r="C2" s="2"/>
      <c r="D2" s="2"/>
      <c r="E2" s="2"/>
      <c r="F2" s="2"/>
    </row>
    <row r="3" ht="12.0" customHeight="1">
      <c r="A3" s="2">
        <v>20.0</v>
      </c>
      <c r="B3" s="2">
        <v>5.0</v>
      </c>
      <c r="C3" s="2"/>
      <c r="D3" s="2"/>
      <c r="E3" s="2"/>
      <c r="F3" s="2"/>
    </row>
    <row r="4" ht="12.0" customHeight="1">
      <c r="A4" s="2">
        <v>100.0</v>
      </c>
      <c r="B4" s="2">
        <v>10.0</v>
      </c>
      <c r="C4" s="2"/>
      <c r="D4" s="2"/>
      <c r="E4" s="2"/>
      <c r="F4" s="2"/>
    </row>
    <row r="5" ht="12.0" customHeight="1">
      <c r="A5" s="2">
        <v>90.0</v>
      </c>
      <c r="B5" s="2">
        <v>85.0</v>
      </c>
      <c r="C5" s="2"/>
      <c r="D5" s="2"/>
      <c r="E5" s="2"/>
      <c r="F5" s="2"/>
    </row>
    <row r="6" ht="12.0" customHeight="1">
      <c r="A6" s="2">
        <v>50.0</v>
      </c>
      <c r="B6" s="2">
        <v>5.0</v>
      </c>
      <c r="C6" s="2"/>
      <c r="D6" s="2"/>
      <c r="E6" s="2"/>
      <c r="F6" s="2"/>
    </row>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13.43"/>
    <col customWidth="1" min="3" max="3" width="2.86"/>
    <col customWidth="1" min="4" max="4" width="16.57"/>
    <col customWidth="1" min="5" max="5" width="12.43"/>
    <col customWidth="1" min="6" max="6" width="19.43"/>
    <col customWidth="1" min="7" max="7" width="1.86"/>
    <col customWidth="1" min="8" max="8" width="19.86"/>
    <col customWidth="1" min="9" max="12" width="15.0"/>
    <col customWidth="1" min="13" max="26" width="9.14"/>
  </cols>
  <sheetData>
    <row r="1" ht="12.0" customHeight="1">
      <c r="A1" s="3"/>
      <c r="B1" s="3"/>
      <c r="C1" s="3"/>
      <c r="D1" s="3"/>
      <c r="E1" s="3"/>
      <c r="F1" s="3"/>
      <c r="G1" s="3"/>
      <c r="H1" s="3"/>
      <c r="I1" s="3"/>
      <c r="J1" s="3"/>
    </row>
    <row r="2" ht="12.0" customHeight="1">
      <c r="A2" s="4" t="s">
        <v>6</v>
      </c>
      <c r="B2" s="5"/>
      <c r="C2" s="6"/>
      <c r="D2" s="6"/>
      <c r="E2" s="6"/>
      <c r="F2" s="6"/>
      <c r="G2" s="6"/>
      <c r="H2" s="6"/>
      <c r="I2" s="6"/>
      <c r="J2" s="6"/>
    </row>
    <row r="3" ht="12.0" customHeight="1">
      <c r="A3" s="7" t="s">
        <v>7</v>
      </c>
      <c r="B3" s="7">
        <v>2.615</v>
      </c>
      <c r="C3" s="6"/>
      <c r="D3" s="6"/>
      <c r="E3" s="6"/>
      <c r="F3" s="6"/>
      <c r="G3" s="6"/>
      <c r="H3" s="6"/>
      <c r="I3" s="6"/>
      <c r="J3" s="6"/>
    </row>
    <row r="4" ht="12.0" customHeight="1">
      <c r="A4" s="7" t="s">
        <v>8</v>
      </c>
      <c r="B4" s="7">
        <v>3.025</v>
      </c>
      <c r="C4" s="6"/>
      <c r="D4" s="7"/>
      <c r="E4" s="4" t="s">
        <v>9</v>
      </c>
      <c r="F4" s="5"/>
      <c r="G4" s="6"/>
      <c r="H4" s="4" t="s">
        <v>10</v>
      </c>
      <c r="I4" s="8"/>
      <c r="J4" s="8"/>
      <c r="K4" s="8"/>
      <c r="L4" s="5"/>
    </row>
    <row r="5" ht="12.0" customHeight="1">
      <c r="A5" s="6"/>
      <c r="B5" s="6"/>
      <c r="C5" s="6"/>
      <c r="D5" s="7" t="s">
        <v>11</v>
      </c>
      <c r="E5" s="7" t="s">
        <v>12</v>
      </c>
      <c r="F5" s="7" t="s">
        <v>13</v>
      </c>
      <c r="G5" s="6"/>
      <c r="H5" s="7" t="s">
        <v>11</v>
      </c>
      <c r="I5" s="7" t="s">
        <v>14</v>
      </c>
      <c r="J5" s="7" t="s">
        <v>15</v>
      </c>
      <c r="K5" s="7" t="s">
        <v>16</v>
      </c>
      <c r="L5" s="9" t="s">
        <v>17</v>
      </c>
    </row>
    <row r="6" ht="12.0" customHeight="1">
      <c r="A6" s="6"/>
      <c r="B6" s="6"/>
      <c r="C6" s="6"/>
      <c r="D6" s="7" t="s">
        <v>14</v>
      </c>
      <c r="E6" s="7">
        <v>1100.0</v>
      </c>
      <c r="F6" s="7"/>
      <c r="G6" s="6"/>
      <c r="H6" s="7" t="s">
        <v>12</v>
      </c>
      <c r="I6" s="7">
        <v>2000.0</v>
      </c>
      <c r="J6" s="7">
        <v>400.0</v>
      </c>
      <c r="K6" s="7">
        <v>600.0</v>
      </c>
      <c r="L6" s="7">
        <v>700.0</v>
      </c>
    </row>
    <row r="7" ht="12.0" customHeight="1">
      <c r="A7" s="6"/>
      <c r="B7" s="6"/>
      <c r="C7" s="6"/>
      <c r="D7" s="7" t="s">
        <v>15</v>
      </c>
      <c r="E7" s="7">
        <v>900.0</v>
      </c>
      <c r="F7" s="7"/>
      <c r="G7" s="6"/>
      <c r="H7" s="7" t="s">
        <v>13</v>
      </c>
      <c r="I7" s="7"/>
      <c r="J7" s="7"/>
      <c r="K7" s="7"/>
      <c r="L7" s="7"/>
    </row>
    <row r="8" ht="12.0" customHeight="1">
      <c r="A8" s="6"/>
      <c r="B8" s="6"/>
      <c r="C8" s="6"/>
      <c r="D8" s="7" t="s">
        <v>16</v>
      </c>
      <c r="E8" s="7">
        <v>250.0</v>
      </c>
      <c r="F8" s="7"/>
      <c r="G8" s="6"/>
      <c r="H8" s="6"/>
      <c r="I8" s="6"/>
      <c r="J8" s="6"/>
    </row>
    <row r="9" ht="12.0" customHeight="1">
      <c r="A9" s="6"/>
      <c r="B9" s="6"/>
      <c r="C9" s="6"/>
      <c r="D9" s="9" t="s">
        <v>18</v>
      </c>
      <c r="E9" s="7">
        <v>2000.0</v>
      </c>
      <c r="F9" s="7"/>
      <c r="G9" s="6"/>
      <c r="H9" s="10"/>
      <c r="I9" s="6"/>
      <c r="J9" s="6"/>
    </row>
    <row r="10" ht="12.0" customHeight="1">
      <c r="A10" s="3"/>
      <c r="B10" s="3"/>
      <c r="C10" s="3"/>
      <c r="D10" s="3"/>
      <c r="E10" s="3"/>
      <c r="F10" s="3"/>
      <c r="G10" s="3"/>
      <c r="H10" s="3"/>
      <c r="I10" s="3"/>
      <c r="J10" s="3"/>
    </row>
    <row r="11" ht="51.0" customHeight="1">
      <c r="A11" s="3"/>
      <c r="B11" s="3"/>
      <c r="C11" s="3"/>
      <c r="D11" s="3"/>
      <c r="E11" s="3"/>
      <c r="F11" s="3"/>
      <c r="G11" s="3"/>
      <c r="H11" s="3"/>
      <c r="I11" s="3"/>
      <c r="J11" s="11"/>
    </row>
    <row r="12" ht="51.0" customHeight="1">
      <c r="A12" s="3"/>
      <c r="B12" s="3"/>
      <c r="C12" s="3"/>
      <c r="D12" s="3"/>
      <c r="E12" s="3"/>
      <c r="F12" s="3"/>
      <c r="G12" s="3"/>
      <c r="H12" s="3"/>
      <c r="I12" s="3"/>
      <c r="J12" s="11"/>
    </row>
    <row r="13" ht="51.0" customHeight="1">
      <c r="A13" s="3"/>
      <c r="B13" s="3"/>
      <c r="C13" s="3"/>
      <c r="D13" s="3"/>
      <c r="E13" s="3"/>
      <c r="F13" s="3"/>
      <c r="G13" s="3"/>
      <c r="H13" s="3"/>
      <c r="I13" s="3"/>
      <c r="J13" s="11"/>
    </row>
    <row r="14" ht="12.0" customHeight="1">
      <c r="A14" s="3"/>
      <c r="B14" s="3"/>
      <c r="C14" s="3"/>
      <c r="D14" s="3"/>
      <c r="E14" s="3"/>
      <c r="F14" s="3"/>
      <c r="G14" s="3"/>
      <c r="H14" s="3"/>
      <c r="I14" s="3"/>
      <c r="J14" s="3"/>
    </row>
    <row r="15" ht="12.0" customHeight="1">
      <c r="A15" s="3"/>
      <c r="B15" s="3"/>
      <c r="C15" s="3"/>
      <c r="D15" s="3"/>
      <c r="E15" s="3"/>
      <c r="F15" s="3"/>
      <c r="G15" s="3"/>
      <c r="H15" s="3"/>
      <c r="I15" s="3"/>
      <c r="J15" s="3"/>
    </row>
    <row r="16" ht="12.0" customHeight="1">
      <c r="A16" s="3"/>
      <c r="B16" s="3"/>
      <c r="C16" s="3"/>
      <c r="D16" s="3"/>
      <c r="E16" s="3"/>
      <c r="F16" s="3"/>
      <c r="G16" s="3"/>
      <c r="H16" s="3"/>
      <c r="I16" s="3"/>
      <c r="J16" s="3"/>
    </row>
    <row r="17" ht="12.0" customHeight="1">
      <c r="A17" s="3"/>
      <c r="B17" s="3"/>
      <c r="C17" s="3"/>
      <c r="D17" s="3"/>
      <c r="E17" s="3"/>
      <c r="F17" s="3"/>
      <c r="G17" s="3"/>
      <c r="H17" s="3"/>
      <c r="I17" s="3"/>
      <c r="J17" s="3"/>
    </row>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A2:B2"/>
    <mergeCell ref="E4:F4"/>
    <mergeCell ref="H4:L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5.14"/>
    <col customWidth="1" min="4" max="4" width="15.57"/>
    <col customWidth="1" min="5" max="5" width="5.43"/>
    <col customWidth="1" min="6" max="6" width="22.14"/>
    <col customWidth="1" min="7" max="7" width="17.86"/>
    <col customWidth="1" min="8" max="8" width="8.71"/>
    <col customWidth="1" min="9" max="9" width="19.14"/>
    <col customWidth="1" min="10" max="10" width="9.14"/>
    <col customWidth="1" min="11" max="12" width="8.71"/>
    <col customWidth="1" min="13" max="13" width="21.86"/>
    <col customWidth="1" min="14" max="26" width="8.71"/>
  </cols>
  <sheetData>
    <row r="1" ht="12.0" customHeight="1"/>
    <row r="2" ht="12.0" customHeight="1"/>
    <row r="3" ht="12.0" customHeight="1"/>
    <row r="4" ht="12.0" customHeight="1"/>
    <row r="5" ht="12.0" customHeight="1"/>
    <row r="6" ht="12.0" customHeight="1"/>
    <row r="7" ht="12.0" customHeight="1"/>
    <row r="8" ht="12.0" customHeight="1">
      <c r="A8" s="3"/>
      <c r="B8" s="12">
        <v>30.0</v>
      </c>
      <c r="C8" s="12">
        <v>75.0</v>
      </c>
      <c r="D8" s="12">
        <v>9.0</v>
      </c>
      <c r="E8" s="3"/>
      <c r="F8" s="3" t="s">
        <v>19</v>
      </c>
      <c r="G8" s="3"/>
      <c r="H8" s="3"/>
    </row>
    <row r="9" ht="12.0" customHeight="1">
      <c r="A9" s="3"/>
      <c r="B9" s="12">
        <v>6.0</v>
      </c>
      <c r="C9" s="12">
        <v>1.0</v>
      </c>
      <c r="D9" s="12">
        <v>87.0</v>
      </c>
      <c r="E9" s="3"/>
      <c r="F9" s="3" t="s">
        <v>20</v>
      </c>
      <c r="G9" s="3"/>
      <c r="H9" s="3"/>
    </row>
    <row r="10" ht="12.0" customHeight="1">
      <c r="A10" s="3"/>
      <c r="B10" s="13">
        <v>23.0</v>
      </c>
      <c r="C10" s="12">
        <v>30.0</v>
      </c>
      <c r="D10" s="12">
        <v>67.0</v>
      </c>
      <c r="E10" s="3"/>
      <c r="F10" s="3" t="s">
        <v>21</v>
      </c>
      <c r="G10" s="3"/>
      <c r="H10" s="3"/>
    </row>
    <row r="11" ht="12.0" customHeight="1">
      <c r="A11" s="3"/>
      <c r="B11" s="12">
        <v>57.0</v>
      </c>
      <c r="C11" s="12">
        <v>54.0</v>
      </c>
      <c r="D11" s="12">
        <v>56.0</v>
      </c>
      <c r="E11" s="3"/>
      <c r="F11" s="3" t="s">
        <v>22</v>
      </c>
      <c r="G11" s="3"/>
      <c r="H11" s="3"/>
    </row>
    <row r="12" ht="12.0" customHeight="1">
      <c r="A12" s="3"/>
      <c r="B12" s="12">
        <v>32.0</v>
      </c>
      <c r="C12" s="12"/>
      <c r="D12" s="12">
        <v>78.0</v>
      </c>
      <c r="E12" s="3"/>
      <c r="F12" s="3" t="s">
        <v>23</v>
      </c>
      <c r="G12" s="3"/>
      <c r="H12" s="3"/>
    </row>
    <row r="13" ht="12.0" customHeight="1">
      <c r="A13" s="3"/>
      <c r="B13" s="12">
        <v>43.0</v>
      </c>
      <c r="C13" s="12">
        <v>45.0</v>
      </c>
      <c r="D13" s="12">
        <v>45.0</v>
      </c>
      <c r="E13" s="3"/>
      <c r="F13" s="3" t="s">
        <v>24</v>
      </c>
      <c r="G13" s="3"/>
      <c r="H13" s="3"/>
    </row>
    <row r="14" ht="12.0" customHeight="1">
      <c r="A14" s="3"/>
      <c r="B14" s="12">
        <v>54.0</v>
      </c>
      <c r="C14" s="12">
        <v>53.0</v>
      </c>
      <c r="D14" s="12">
        <v>67.0</v>
      </c>
      <c r="E14" s="3"/>
      <c r="F14" s="3" t="s">
        <v>25</v>
      </c>
      <c r="G14" s="3"/>
      <c r="H14" s="3"/>
    </row>
    <row r="15" ht="12.0" customHeight="1">
      <c r="A15" s="3"/>
      <c r="B15" s="12">
        <v>56.0</v>
      </c>
      <c r="C15" s="12">
        <v>110.0</v>
      </c>
      <c r="D15" s="12">
        <v>100.0</v>
      </c>
      <c r="E15" s="3"/>
      <c r="F15" s="3" t="s">
        <v>26</v>
      </c>
      <c r="G15" s="3"/>
      <c r="H15" s="3"/>
    </row>
    <row r="16" ht="12.0" customHeight="1">
      <c r="A16" s="3"/>
      <c r="B16" s="12">
        <v>122.0</v>
      </c>
      <c r="C16" s="12">
        <v>119.0</v>
      </c>
      <c r="D16" s="12">
        <v>123.0</v>
      </c>
      <c r="E16" s="3"/>
      <c r="F16" s="3" t="s">
        <v>27</v>
      </c>
      <c r="G16" s="3"/>
      <c r="H16" s="3"/>
    </row>
    <row r="17" ht="12.0" customHeight="1">
      <c r="A17" s="3"/>
      <c r="B17" s="12">
        <v>345.0</v>
      </c>
      <c r="C17" s="12">
        <v>32.0</v>
      </c>
      <c r="D17" s="12">
        <v>78.0</v>
      </c>
      <c r="E17" s="3"/>
      <c r="F17" s="14"/>
      <c r="G17" s="3"/>
      <c r="H17" s="3"/>
    </row>
    <row r="18" ht="12.0" customHeight="1"/>
    <row r="19" ht="12.0" customHeight="1"/>
    <row r="20" ht="12.0" customHeight="1"/>
    <row r="21" ht="12.0" customHeight="1"/>
    <row r="22" ht="12.0" customHeight="1"/>
    <row r="23" ht="12.0" customHeight="1"/>
    <row r="24" ht="12.0" customHeight="1"/>
    <row r="25" ht="12.0" customHeight="1"/>
    <row r="26" ht="35.25" customHeight="1">
      <c r="B26" s="15"/>
      <c r="C26" s="15"/>
      <c r="D26" s="15"/>
      <c r="L26" s="16"/>
      <c r="M26" s="16"/>
    </row>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5.14"/>
    <col customWidth="1" min="4" max="4" width="15.57"/>
    <col customWidth="1" min="5" max="5" width="20.43"/>
    <col customWidth="1" min="6" max="6" width="8.71"/>
    <col customWidth="1" min="7" max="7" width="19.14"/>
    <col customWidth="1" min="8" max="8" width="9.14"/>
    <col customWidth="1" min="9" max="10" width="8.71"/>
    <col customWidth="1" min="11" max="11" width="21.86"/>
    <col customWidth="1" min="12" max="26" width="8.71"/>
  </cols>
  <sheetData>
    <row r="1" ht="12.0" customHeight="1"/>
    <row r="2" ht="12.0" customHeight="1"/>
    <row r="3" ht="12.0" customHeight="1"/>
    <row r="4" ht="12.0" customHeight="1"/>
    <row r="5" ht="12.0" customHeight="1">
      <c r="A5" s="17"/>
      <c r="B5" s="18" t="s">
        <v>28</v>
      </c>
      <c r="C5" s="18" t="s">
        <v>29</v>
      </c>
      <c r="D5" s="19" t="s">
        <v>30</v>
      </c>
      <c r="E5" s="19" t="s">
        <v>31</v>
      </c>
      <c r="F5" s="17"/>
      <c r="G5" s="17"/>
      <c r="H5" s="17"/>
      <c r="I5" s="17"/>
      <c r="J5" s="17"/>
      <c r="K5" s="17"/>
      <c r="L5" s="17"/>
      <c r="M5" s="17"/>
    </row>
    <row r="6" ht="12.0" customHeight="1">
      <c r="A6" s="17"/>
      <c r="B6" s="18">
        <f>9/3.9</f>
        <v>2.307692308</v>
      </c>
      <c r="C6" s="18"/>
      <c r="D6" s="18"/>
      <c r="E6" s="18"/>
      <c r="F6" s="17"/>
      <c r="G6" s="17"/>
      <c r="H6" s="17"/>
      <c r="I6" s="17"/>
      <c r="J6" s="20"/>
      <c r="K6" s="20"/>
      <c r="L6" s="17"/>
      <c r="M6" s="17"/>
    </row>
    <row r="7" ht="12.0" customHeight="1">
      <c r="A7" s="17"/>
      <c r="B7" s="18">
        <v>8.967</v>
      </c>
      <c r="C7" s="18"/>
      <c r="D7" s="18"/>
      <c r="E7" s="18"/>
      <c r="F7" s="17"/>
      <c r="G7" s="17"/>
      <c r="H7" s="17"/>
      <c r="I7" s="17"/>
      <c r="J7" s="20"/>
      <c r="K7" s="20"/>
      <c r="L7" s="17"/>
      <c r="M7" s="17"/>
    </row>
    <row r="8" ht="12.0" customHeight="1">
      <c r="A8" s="17"/>
      <c r="B8" s="18">
        <v>8.837</v>
      </c>
      <c r="C8" s="18"/>
      <c r="D8" s="18"/>
      <c r="E8" s="18"/>
      <c r="F8" s="17"/>
      <c r="G8" s="17"/>
      <c r="H8" s="17"/>
      <c r="I8" s="17"/>
      <c r="J8" s="20"/>
      <c r="K8" s="20"/>
      <c r="L8" s="17"/>
      <c r="M8" s="17"/>
    </row>
    <row r="9" ht="12.0" customHeight="1">
      <c r="A9" s="17"/>
      <c r="B9" s="18">
        <v>5.33456</v>
      </c>
      <c r="C9" s="18"/>
      <c r="D9" s="18"/>
      <c r="E9" s="18"/>
      <c r="F9" s="17"/>
      <c r="G9" s="17"/>
      <c r="H9" s="17"/>
      <c r="I9" s="17"/>
      <c r="J9" s="20"/>
      <c r="K9" s="20"/>
      <c r="L9" s="17"/>
      <c r="M9" s="17"/>
    </row>
    <row r="10" ht="35.25" customHeight="1">
      <c r="B10" s="15"/>
      <c r="C10" s="15"/>
      <c r="D10" s="15"/>
      <c r="J10" s="16"/>
      <c r="K10" s="16"/>
    </row>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2.86"/>
    <col customWidth="1" min="3" max="3" width="15.86"/>
    <col customWidth="1" min="4" max="4" width="24.14"/>
    <col customWidth="1" min="5" max="5" width="24.86"/>
    <col customWidth="1" min="6" max="26" width="8.71"/>
  </cols>
  <sheetData>
    <row r="1" ht="12.0" customHeight="1">
      <c r="A1" s="3"/>
      <c r="B1" s="3"/>
      <c r="C1" s="3"/>
      <c r="D1" s="3"/>
      <c r="E1" s="3"/>
      <c r="F1" s="3"/>
      <c r="G1" s="3"/>
      <c r="H1" s="3"/>
      <c r="I1" s="3"/>
    </row>
    <row r="2" ht="12.0" customHeight="1">
      <c r="A2" s="3" t="s">
        <v>0</v>
      </c>
      <c r="B2" s="3" t="s">
        <v>1</v>
      </c>
      <c r="C2" s="3"/>
      <c r="D2" s="3" t="s">
        <v>32</v>
      </c>
      <c r="E2" s="3" t="s">
        <v>32</v>
      </c>
      <c r="F2" s="3"/>
      <c r="G2" s="3"/>
      <c r="H2" s="3"/>
      <c r="I2" s="3"/>
    </row>
    <row r="3" ht="12.0" customHeight="1">
      <c r="A3" s="3">
        <v>25.0</v>
      </c>
      <c r="B3" s="3">
        <v>25.0</v>
      </c>
      <c r="C3" s="3"/>
      <c r="D3" s="3"/>
      <c r="E3" s="3"/>
      <c r="F3" s="3"/>
      <c r="G3" s="3"/>
      <c r="H3" s="3"/>
      <c r="I3" s="3"/>
    </row>
    <row r="4" ht="12.0" customHeight="1">
      <c r="A4" s="3"/>
      <c r="B4" s="3"/>
      <c r="C4" s="3"/>
      <c r="D4" s="3"/>
      <c r="E4" s="3"/>
      <c r="F4" s="3"/>
      <c r="G4" s="3"/>
      <c r="H4" s="3"/>
      <c r="I4" s="3"/>
    </row>
    <row r="5" ht="12.0" customHeight="1">
      <c r="A5" s="3"/>
      <c r="B5" s="3"/>
      <c r="C5" s="3"/>
      <c r="D5" s="3"/>
      <c r="E5" s="3"/>
      <c r="F5" s="3"/>
      <c r="G5" s="3"/>
      <c r="H5" s="3"/>
      <c r="I5" s="3"/>
    </row>
    <row r="6" ht="12.0" customHeight="1">
      <c r="A6" s="3"/>
      <c r="B6" s="3"/>
      <c r="C6" s="3"/>
      <c r="D6" s="3"/>
      <c r="E6" s="3"/>
      <c r="F6" s="3"/>
      <c r="G6" s="3"/>
      <c r="H6" s="3"/>
      <c r="I6" s="3"/>
    </row>
    <row r="7" ht="12.0" customHeight="1">
      <c r="A7" s="3"/>
      <c r="B7" s="3"/>
      <c r="C7" s="3"/>
      <c r="D7" s="3"/>
      <c r="E7" s="3"/>
      <c r="F7" s="3"/>
      <c r="G7" s="3"/>
      <c r="H7" s="3"/>
      <c r="I7" s="3"/>
    </row>
    <row r="8" ht="12.0" customHeight="1">
      <c r="A8" s="3"/>
      <c r="B8" s="3"/>
      <c r="C8" s="3"/>
      <c r="D8" s="3"/>
      <c r="E8" s="3"/>
      <c r="F8" s="3"/>
      <c r="G8" s="3"/>
      <c r="H8" s="3"/>
      <c r="I8" s="3"/>
    </row>
    <row r="9" ht="12.0" customHeight="1">
      <c r="A9" s="3"/>
      <c r="B9" s="3"/>
      <c r="C9" s="3"/>
      <c r="D9" s="3"/>
      <c r="E9" s="3"/>
      <c r="F9" s="3"/>
      <c r="G9" s="3"/>
      <c r="H9" s="3"/>
      <c r="I9" s="3"/>
    </row>
    <row r="10" ht="12.0" customHeight="1">
      <c r="A10" s="3"/>
      <c r="B10" s="3"/>
      <c r="C10" s="3"/>
      <c r="D10" s="3"/>
      <c r="E10" s="3"/>
      <c r="F10" s="3"/>
      <c r="G10" s="3"/>
      <c r="H10" s="3"/>
      <c r="I10" s="3"/>
    </row>
    <row r="11" ht="12.0" customHeight="1">
      <c r="A11" s="3"/>
      <c r="B11" s="21" t="s">
        <v>33</v>
      </c>
      <c r="C11" s="21" t="s">
        <v>34</v>
      </c>
      <c r="D11" s="22"/>
      <c r="E11" s="3"/>
      <c r="F11" s="3"/>
      <c r="G11" s="3"/>
      <c r="H11" s="3"/>
      <c r="I11" s="3"/>
    </row>
    <row r="12" ht="12.0" customHeight="1">
      <c r="A12" s="23" t="s">
        <v>35</v>
      </c>
      <c r="B12" s="12">
        <v>10.0</v>
      </c>
      <c r="C12" s="24"/>
      <c r="D12" s="25"/>
      <c r="E12" s="3"/>
      <c r="F12" s="3"/>
      <c r="G12" s="3"/>
      <c r="H12" s="3"/>
      <c r="I12" s="3"/>
    </row>
    <row r="13" ht="12.0" customHeight="1">
      <c r="A13" s="23" t="s">
        <v>36</v>
      </c>
      <c r="B13" s="12">
        <v>14.0</v>
      </c>
      <c r="C13" s="24"/>
      <c r="D13" s="25"/>
      <c r="E13" s="3"/>
      <c r="F13" s="3"/>
      <c r="G13" s="3"/>
      <c r="H13" s="3"/>
      <c r="I13" s="3"/>
    </row>
    <row r="14" ht="12.0" customHeight="1">
      <c r="A14" s="23" t="s">
        <v>37</v>
      </c>
      <c r="B14" s="12">
        <v>6.0</v>
      </c>
      <c r="C14" s="24"/>
      <c r="D14" s="25"/>
      <c r="E14" s="3"/>
      <c r="F14" s="3"/>
      <c r="G14" s="3"/>
      <c r="H14" s="3"/>
      <c r="I14" s="3"/>
    </row>
    <row r="15" ht="12.0" customHeight="1">
      <c r="A15" s="3"/>
      <c r="B15" s="3"/>
      <c r="C15" s="3"/>
      <c r="D15" s="3"/>
      <c r="E15" s="3"/>
      <c r="F15" s="3"/>
      <c r="G15" s="3"/>
      <c r="H15" s="3"/>
      <c r="I15" s="3"/>
    </row>
    <row r="16" ht="12.0" customHeight="1">
      <c r="A16" s="3"/>
      <c r="B16" s="3"/>
      <c r="C16" s="3"/>
      <c r="D16" s="3"/>
      <c r="E16" s="3"/>
      <c r="F16" s="3"/>
      <c r="G16" s="3"/>
      <c r="H16" s="3"/>
      <c r="I16" s="3"/>
    </row>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14"/>
    <col customWidth="1" min="3" max="3" width="14.14"/>
    <col customWidth="1" min="4" max="4" width="24.86"/>
    <col customWidth="1" min="5" max="5" width="24.14"/>
    <col customWidth="1" min="6" max="6" width="24.0"/>
    <col customWidth="1" min="7" max="26" width="8.71"/>
  </cols>
  <sheetData>
    <row r="1" ht="12.0" customHeight="1">
      <c r="B1" s="26" t="s">
        <v>38</v>
      </c>
      <c r="C1" s="26" t="s">
        <v>39</v>
      </c>
      <c r="D1" s="26" t="s">
        <v>40</v>
      </c>
      <c r="E1" s="26" t="s">
        <v>41</v>
      </c>
    </row>
    <row r="2" ht="12.0" customHeight="1">
      <c r="B2" s="27" t="s">
        <v>42</v>
      </c>
      <c r="C2" s="28">
        <v>174.0</v>
      </c>
      <c r="D2" s="29"/>
      <c r="E2" s="30"/>
    </row>
    <row r="3" ht="12.0" customHeight="1">
      <c r="B3" s="27" t="s">
        <v>43</v>
      </c>
      <c r="C3" s="28">
        <v>169.0</v>
      </c>
      <c r="D3" s="29"/>
      <c r="E3" s="30"/>
    </row>
    <row r="4" ht="12.0" customHeight="1">
      <c r="B4" s="27" t="s">
        <v>44</v>
      </c>
      <c r="C4" s="28">
        <v>198.0</v>
      </c>
      <c r="D4" s="29"/>
      <c r="E4" s="30"/>
    </row>
    <row r="5" ht="12.0" customHeight="1">
      <c r="B5" s="31"/>
      <c r="C5" s="32"/>
      <c r="D5" s="33"/>
      <c r="E5" s="34"/>
    </row>
    <row r="6" ht="12.0" customHeight="1">
      <c r="B6" s="31"/>
      <c r="C6" s="32"/>
      <c r="D6" s="33"/>
      <c r="E6" s="34"/>
    </row>
    <row r="7" ht="12.0" customHeight="1">
      <c r="B7" s="31"/>
      <c r="C7" s="32"/>
      <c r="D7" s="33"/>
      <c r="E7" s="34"/>
    </row>
    <row r="8" ht="12.0" customHeight="1">
      <c r="B8" s="31"/>
      <c r="C8" s="32"/>
      <c r="D8" s="33"/>
      <c r="E8" s="34"/>
    </row>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4" width="10.14"/>
    <col customWidth="1" min="5" max="5" width="16.86"/>
    <col customWidth="1" min="6" max="6" width="21.57"/>
    <col customWidth="1" min="7" max="26" width="8.71"/>
  </cols>
  <sheetData>
    <row r="1" ht="12.0" customHeight="1">
      <c r="A1" s="23"/>
      <c r="B1" s="12" t="s">
        <v>45</v>
      </c>
      <c r="C1" s="12" t="s">
        <v>46</v>
      </c>
      <c r="D1" s="12" t="s">
        <v>47</v>
      </c>
      <c r="E1" s="12" t="s">
        <v>48</v>
      </c>
    </row>
    <row r="2" ht="12.0" customHeight="1">
      <c r="A2" s="35" t="s">
        <v>49</v>
      </c>
      <c r="B2" s="12">
        <v>12.0</v>
      </c>
      <c r="C2" s="12">
        <v>8.0</v>
      </c>
      <c r="D2" s="12">
        <v>13.0</v>
      </c>
      <c r="E2" s="12"/>
    </row>
    <row r="3" ht="12.0" customHeight="1">
      <c r="A3" s="35" t="s">
        <v>50</v>
      </c>
      <c r="B3" s="12">
        <v>11.0</v>
      </c>
      <c r="C3" s="12">
        <v>14.0</v>
      </c>
      <c r="D3" s="12">
        <v>9.0</v>
      </c>
      <c r="E3" s="12"/>
    </row>
    <row r="4" ht="12.0" customHeight="1">
      <c r="A4" s="35" t="s">
        <v>51</v>
      </c>
      <c r="B4" s="12">
        <v>12.0</v>
      </c>
      <c r="C4" s="12">
        <v>11.0</v>
      </c>
      <c r="D4" s="12">
        <v>15.0</v>
      </c>
      <c r="E4" s="12"/>
    </row>
    <row r="5" ht="12.0" customHeight="1">
      <c r="B5" s="16"/>
      <c r="C5" s="16"/>
      <c r="D5" s="16"/>
      <c r="E5" s="16"/>
    </row>
    <row r="6" ht="12.0" customHeight="1">
      <c r="B6" s="16"/>
      <c r="C6" s="16"/>
      <c r="D6" s="16"/>
      <c r="E6" s="16"/>
    </row>
    <row r="7" ht="12.0" customHeight="1">
      <c r="B7" s="16"/>
      <c r="C7" s="16"/>
      <c r="D7" s="16"/>
      <c r="E7" s="16"/>
    </row>
    <row r="8" ht="12.0" customHeight="1">
      <c r="B8" s="16"/>
      <c r="C8" s="16"/>
      <c r="D8" s="16"/>
      <c r="E8" s="16"/>
    </row>
    <row r="9" ht="12.0" customHeight="1">
      <c r="B9" s="16"/>
      <c r="C9" s="16"/>
      <c r="D9" s="16"/>
      <c r="E9" s="16"/>
    </row>
    <row r="10" ht="5.25" customHeight="1">
      <c r="B10" s="16"/>
      <c r="C10" s="16"/>
      <c r="D10" s="16"/>
      <c r="E10" s="16"/>
    </row>
    <row r="11" ht="6.0" customHeight="1">
      <c r="B11" s="16"/>
      <c r="C11" s="16"/>
      <c r="D11" s="16"/>
      <c r="E11" s="16"/>
    </row>
    <row r="12" ht="4.5" customHeight="1">
      <c r="B12" s="16"/>
      <c r="C12" s="16"/>
      <c r="D12" s="16"/>
      <c r="E12" s="16"/>
    </row>
    <row r="13" ht="12.0" customHeight="1">
      <c r="A13" s="23"/>
      <c r="B13" s="12" t="s">
        <v>45</v>
      </c>
      <c r="C13" s="12" t="s">
        <v>46</v>
      </c>
      <c r="D13" s="12" t="s">
        <v>47</v>
      </c>
      <c r="E13" s="12" t="s">
        <v>48</v>
      </c>
    </row>
    <row r="14" ht="12.0" customHeight="1">
      <c r="A14" s="35" t="s">
        <v>36</v>
      </c>
      <c r="B14" s="12">
        <v>9.0</v>
      </c>
      <c r="C14" s="12">
        <v>8.0</v>
      </c>
      <c r="D14" s="12">
        <v>13.0</v>
      </c>
      <c r="E14" s="12"/>
    </row>
    <row r="15" ht="12.0" customHeight="1">
      <c r="A15" s="35" t="s">
        <v>52</v>
      </c>
      <c r="B15" s="12">
        <v>12.0</v>
      </c>
      <c r="C15" s="12">
        <v>8.0</v>
      </c>
      <c r="D15" s="12">
        <v>4.0</v>
      </c>
      <c r="E15" s="12"/>
    </row>
    <row r="16" ht="12.0" customHeight="1">
      <c r="A16" s="35" t="s">
        <v>53</v>
      </c>
      <c r="B16" s="12">
        <v>9.0</v>
      </c>
      <c r="C16" s="12">
        <v>7.0</v>
      </c>
      <c r="D16" s="12">
        <v>8.0</v>
      </c>
      <c r="E16" s="12"/>
    </row>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14"/>
    <col customWidth="1" min="4" max="4" width="23.57"/>
    <col customWidth="1" min="5" max="6" width="8.43"/>
    <col customWidth="1" min="7" max="7" width="26.43"/>
    <col customWidth="1" min="8" max="26" width="8.71"/>
  </cols>
  <sheetData>
    <row r="1" ht="12.0" customHeight="1"/>
    <row r="2" ht="12.0" customHeight="1"/>
    <row r="3" ht="12.0" customHeight="1"/>
    <row r="4" ht="12.0" customHeight="1">
      <c r="C4" s="36" t="s">
        <v>54</v>
      </c>
      <c r="D4" s="5"/>
      <c r="G4" s="37" t="s">
        <v>55</v>
      </c>
    </row>
    <row r="5" ht="12.0" customHeight="1">
      <c r="C5" s="38" t="s">
        <v>56</v>
      </c>
      <c r="D5" s="39">
        <v>350.0</v>
      </c>
      <c r="G5" s="37" t="s">
        <v>57</v>
      </c>
    </row>
    <row r="6" ht="12.0" customHeight="1">
      <c r="C6" s="40" t="s">
        <v>58</v>
      </c>
      <c r="D6" s="41">
        <v>200.0</v>
      </c>
      <c r="G6" s="37"/>
    </row>
    <row r="7" ht="12.0" customHeight="1">
      <c r="C7" s="38" t="s">
        <v>56</v>
      </c>
      <c r="D7" s="39">
        <v>250.0</v>
      </c>
      <c r="G7" s="37" t="s">
        <v>59</v>
      </c>
    </row>
    <row r="8" ht="12.0" customHeight="1">
      <c r="C8" s="40" t="s">
        <v>58</v>
      </c>
      <c r="D8" s="41">
        <v>120.0</v>
      </c>
    </row>
    <row r="9" ht="12.0" customHeight="1">
      <c r="C9" s="38" t="s">
        <v>56</v>
      </c>
      <c r="D9" s="39">
        <v>200.0</v>
      </c>
      <c r="G9" s="37" t="s">
        <v>60</v>
      </c>
    </row>
    <row r="10" ht="12.0" customHeight="1">
      <c r="C10" s="40" t="s">
        <v>58</v>
      </c>
      <c r="D10" s="41">
        <v>125.0</v>
      </c>
      <c r="G10" s="37" t="s">
        <v>61</v>
      </c>
    </row>
    <row r="11" ht="12.0" customHeight="1">
      <c r="C11" s="40" t="s">
        <v>58</v>
      </c>
      <c r="D11" s="41">
        <v>200.0</v>
      </c>
    </row>
    <row r="12" ht="12.0" customHeight="1">
      <c r="C12" s="38" t="s">
        <v>56</v>
      </c>
      <c r="D12" s="39">
        <v>100.0</v>
      </c>
      <c r="G12" s="37" t="s">
        <v>62</v>
      </c>
    </row>
    <row r="13" ht="12.0" customHeight="1">
      <c r="C13" s="38" t="s">
        <v>56</v>
      </c>
      <c r="D13" s="39">
        <v>400.0</v>
      </c>
      <c r="G13" s="37" t="s">
        <v>63</v>
      </c>
    </row>
    <row r="14" ht="12.0" customHeight="1">
      <c r="C14" s="40" t="s">
        <v>58</v>
      </c>
      <c r="D14" s="41">
        <v>50.0</v>
      </c>
    </row>
    <row r="15" ht="12.0" customHeight="1">
      <c r="C15" s="38" t="s">
        <v>56</v>
      </c>
      <c r="D15" s="39">
        <v>23.0</v>
      </c>
    </row>
    <row r="16" ht="12.0" customHeight="1"/>
    <row r="17" ht="12.0" customHeight="1"/>
    <row r="18" ht="12.0" customHeight="1"/>
    <row r="19" ht="12.0" customHeight="1">
      <c r="E19" s="42"/>
    </row>
    <row r="20" ht="12.0" customHeight="1">
      <c r="E20" s="42"/>
    </row>
    <row r="21" ht="12.0" customHeight="1"/>
    <row r="22" ht="12.0" customHeight="1">
      <c r="E22" s="42"/>
    </row>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C4:D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24.0"/>
    <col customWidth="1" min="3" max="3" width="9.57"/>
    <col customWidth="1" min="4" max="4" width="9.14"/>
    <col customWidth="1" min="5" max="5" width="15.57"/>
    <col customWidth="1" min="6" max="7" width="12.86"/>
    <col customWidth="1" min="8" max="8" width="12.43"/>
    <col customWidth="1" min="9" max="11" width="11.14"/>
    <col customWidth="1" min="12" max="26" width="8.71"/>
  </cols>
  <sheetData>
    <row r="1" ht="20.25" customHeight="1">
      <c r="A1" s="26" t="s">
        <v>64</v>
      </c>
      <c r="B1" s="26" t="s">
        <v>65</v>
      </c>
      <c r="C1" s="43" t="s">
        <v>66</v>
      </c>
      <c r="D1" s="43" t="s">
        <v>67</v>
      </c>
      <c r="E1" s="43" t="s">
        <v>68</v>
      </c>
      <c r="F1" s="43" t="s">
        <v>69</v>
      </c>
      <c r="G1" s="43" t="s">
        <v>70</v>
      </c>
      <c r="H1" s="43" t="s">
        <v>71</v>
      </c>
      <c r="I1" s="3"/>
      <c r="J1" s="3"/>
      <c r="K1" s="3"/>
      <c r="L1" s="3"/>
      <c r="M1" s="3"/>
      <c r="N1" s="3"/>
      <c r="O1" s="3"/>
      <c r="P1" s="3"/>
      <c r="Q1" s="3"/>
      <c r="R1" s="3"/>
      <c r="S1" s="3"/>
      <c r="T1" s="3"/>
      <c r="U1" s="3"/>
      <c r="V1" s="3"/>
      <c r="W1" s="3"/>
      <c r="X1" s="3"/>
      <c r="Y1" s="3"/>
      <c r="Z1" s="3"/>
    </row>
    <row r="2" ht="20.25" customHeight="1">
      <c r="A2" s="44" t="s">
        <v>72</v>
      </c>
      <c r="B2" s="45" t="s">
        <v>49</v>
      </c>
      <c r="C2" s="46">
        <v>80.0</v>
      </c>
      <c r="D2" s="46">
        <v>70.0</v>
      </c>
      <c r="E2" s="47">
        <f t="shared" ref="E2:E8" si="1">ROUND(C2*40%+D2*60%,0)</f>
        <v>74</v>
      </c>
      <c r="F2" s="48"/>
      <c r="G2" s="48"/>
      <c r="H2" s="48"/>
      <c r="I2" s="3"/>
      <c r="J2" s="3"/>
      <c r="K2" s="3"/>
      <c r="L2" s="3"/>
      <c r="M2" s="3"/>
      <c r="N2" s="3"/>
      <c r="O2" s="3"/>
      <c r="P2" s="3"/>
      <c r="Q2" s="3"/>
      <c r="R2" s="3"/>
      <c r="S2" s="3"/>
      <c r="T2" s="3"/>
      <c r="U2" s="3"/>
      <c r="V2" s="3"/>
      <c r="W2" s="3"/>
      <c r="X2" s="3"/>
      <c r="Y2" s="3"/>
      <c r="Z2" s="3"/>
    </row>
    <row r="3" ht="20.25" customHeight="1">
      <c r="A3" s="44" t="s">
        <v>73</v>
      </c>
      <c r="B3" s="45" t="s">
        <v>50</v>
      </c>
      <c r="C3" s="46">
        <v>60.0</v>
      </c>
      <c r="D3" s="46">
        <v>60.0</v>
      </c>
      <c r="E3" s="47">
        <f t="shared" si="1"/>
        <v>60</v>
      </c>
      <c r="F3" s="48"/>
      <c r="G3" s="48"/>
      <c r="H3" s="48"/>
      <c r="I3" s="3"/>
      <c r="J3" s="3"/>
      <c r="K3" s="3"/>
      <c r="L3" s="3"/>
      <c r="M3" s="3"/>
      <c r="N3" s="3"/>
      <c r="O3" s="3"/>
      <c r="P3" s="3"/>
      <c r="Q3" s="3"/>
      <c r="R3" s="3"/>
      <c r="S3" s="3"/>
      <c r="T3" s="3"/>
      <c r="U3" s="3"/>
      <c r="V3" s="3"/>
      <c r="W3" s="3"/>
      <c r="X3" s="3"/>
      <c r="Y3" s="3"/>
      <c r="Z3" s="3"/>
    </row>
    <row r="4" ht="20.25" customHeight="1">
      <c r="A4" s="44" t="s">
        <v>73</v>
      </c>
      <c r="B4" s="45" t="s">
        <v>51</v>
      </c>
      <c r="C4" s="46">
        <v>80.0</v>
      </c>
      <c r="D4" s="46">
        <v>50.0</v>
      </c>
      <c r="E4" s="47">
        <f t="shared" si="1"/>
        <v>62</v>
      </c>
      <c r="F4" s="48"/>
      <c r="G4" s="48"/>
      <c r="H4" s="48"/>
      <c r="I4" s="3"/>
      <c r="J4" s="3"/>
      <c r="K4" s="3"/>
      <c r="L4" s="3"/>
      <c r="M4" s="3"/>
      <c r="N4" s="3"/>
      <c r="O4" s="3"/>
      <c r="P4" s="3"/>
      <c r="Q4" s="3"/>
      <c r="R4" s="3"/>
      <c r="S4" s="3"/>
      <c r="T4" s="3"/>
      <c r="U4" s="3"/>
      <c r="V4" s="3"/>
      <c r="W4" s="3"/>
      <c r="X4" s="3"/>
      <c r="Y4" s="3"/>
      <c r="Z4" s="3"/>
    </row>
    <row r="5" ht="20.25" customHeight="1">
      <c r="A5" s="44" t="s">
        <v>72</v>
      </c>
      <c r="B5" s="45" t="s">
        <v>36</v>
      </c>
      <c r="C5" s="46">
        <v>80.0</v>
      </c>
      <c r="D5" s="46">
        <v>45.0</v>
      </c>
      <c r="E5" s="47">
        <f t="shared" si="1"/>
        <v>59</v>
      </c>
      <c r="F5" s="48"/>
      <c r="G5" s="48"/>
      <c r="H5" s="48"/>
      <c r="I5" s="3"/>
      <c r="J5" s="3"/>
      <c r="K5" s="3"/>
      <c r="L5" s="3"/>
      <c r="M5" s="3"/>
      <c r="N5" s="3"/>
      <c r="O5" s="3"/>
      <c r="P5" s="3"/>
      <c r="Q5" s="3"/>
      <c r="R5" s="3"/>
      <c r="S5" s="3"/>
      <c r="T5" s="3"/>
      <c r="U5" s="3"/>
      <c r="V5" s="3"/>
      <c r="W5" s="3"/>
      <c r="X5" s="3"/>
      <c r="Y5" s="3"/>
      <c r="Z5" s="3"/>
    </row>
    <row r="6" ht="20.25" customHeight="1">
      <c r="A6" s="44" t="s">
        <v>73</v>
      </c>
      <c r="B6" s="45" t="s">
        <v>52</v>
      </c>
      <c r="C6" s="46">
        <v>62.0</v>
      </c>
      <c r="D6" s="46">
        <v>49.0</v>
      </c>
      <c r="E6" s="47">
        <f t="shared" si="1"/>
        <v>54</v>
      </c>
      <c r="F6" s="48"/>
      <c r="G6" s="48"/>
      <c r="H6" s="48"/>
      <c r="I6" s="3"/>
      <c r="J6" s="3"/>
      <c r="K6" s="3"/>
      <c r="L6" s="3"/>
      <c r="M6" s="3"/>
      <c r="N6" s="3"/>
      <c r="O6" s="3"/>
      <c r="P6" s="3"/>
      <c r="Q6" s="3"/>
      <c r="R6" s="3"/>
      <c r="S6" s="3"/>
      <c r="T6" s="3"/>
      <c r="U6" s="3"/>
      <c r="V6" s="3"/>
      <c r="W6" s="3"/>
      <c r="X6" s="3"/>
      <c r="Y6" s="3"/>
      <c r="Z6" s="3"/>
    </row>
    <row r="7" ht="20.25" customHeight="1">
      <c r="A7" s="44" t="s">
        <v>72</v>
      </c>
      <c r="B7" s="45" t="s">
        <v>53</v>
      </c>
      <c r="C7" s="46">
        <v>55.0</v>
      </c>
      <c r="D7" s="46">
        <v>56.0</v>
      </c>
      <c r="E7" s="47">
        <f t="shared" si="1"/>
        <v>56</v>
      </c>
      <c r="F7" s="48"/>
      <c r="G7" s="48"/>
      <c r="H7" s="48"/>
      <c r="I7" s="3"/>
      <c r="J7" s="3"/>
      <c r="K7" s="3"/>
      <c r="L7" s="3"/>
      <c r="M7" s="3"/>
      <c r="N7" s="3"/>
      <c r="O7" s="3"/>
      <c r="P7" s="3"/>
      <c r="Q7" s="3"/>
      <c r="R7" s="3"/>
      <c r="S7" s="3"/>
      <c r="T7" s="3"/>
      <c r="U7" s="3"/>
      <c r="V7" s="3"/>
      <c r="W7" s="3"/>
      <c r="X7" s="3"/>
      <c r="Y7" s="3"/>
      <c r="Z7" s="3"/>
    </row>
    <row r="8" ht="20.25" customHeight="1">
      <c r="A8" s="44" t="s">
        <v>72</v>
      </c>
      <c r="B8" s="45" t="s">
        <v>74</v>
      </c>
      <c r="C8" s="46">
        <v>70.0</v>
      </c>
      <c r="D8" s="46">
        <v>50.0</v>
      </c>
      <c r="E8" s="47">
        <f t="shared" si="1"/>
        <v>58</v>
      </c>
      <c r="F8" s="48"/>
      <c r="G8" s="48"/>
      <c r="H8" s="48"/>
      <c r="I8" s="3"/>
      <c r="J8" s="3"/>
      <c r="K8" s="3"/>
      <c r="L8" s="3"/>
      <c r="M8" s="3"/>
      <c r="N8" s="3"/>
      <c r="O8" s="3"/>
      <c r="P8" s="3"/>
      <c r="Q8" s="3"/>
      <c r="R8" s="3"/>
      <c r="S8" s="3"/>
      <c r="T8" s="3"/>
      <c r="U8" s="3"/>
      <c r="V8" s="3"/>
      <c r="W8" s="3"/>
      <c r="X8" s="3"/>
      <c r="Y8" s="3"/>
      <c r="Z8" s="3"/>
    </row>
    <row r="9" ht="12.0" customHeight="1">
      <c r="C9" s="49"/>
      <c r="D9" s="13"/>
      <c r="K9" s="3"/>
    </row>
    <row r="10" ht="12.0" customHeight="1">
      <c r="B10" s="50" t="s">
        <v>75</v>
      </c>
      <c r="C10" s="51"/>
      <c r="D10" s="51"/>
      <c r="E10" s="51"/>
      <c r="K10" s="3"/>
    </row>
    <row r="11" ht="12.0" customHeight="1">
      <c r="B11" s="50" t="s">
        <v>76</v>
      </c>
      <c r="C11" s="51"/>
      <c r="D11" s="51"/>
      <c r="E11" s="51"/>
    </row>
    <row r="12" ht="12.0" customHeight="1">
      <c r="B12" s="52" t="s">
        <v>77</v>
      </c>
      <c r="C12" s="51"/>
      <c r="D12" s="51"/>
      <c r="E12" s="51"/>
    </row>
    <row r="13" ht="39.75" customHeight="1">
      <c r="B13" s="53" t="s">
        <v>78</v>
      </c>
      <c r="C13" s="18"/>
      <c r="D13" s="54" t="s">
        <v>79</v>
      </c>
      <c r="E13" s="55"/>
    </row>
    <row r="14" ht="34.5" customHeight="1">
      <c r="B14" s="53" t="s">
        <v>80</v>
      </c>
      <c r="C14" s="18"/>
      <c r="D14" s="54" t="s">
        <v>81</v>
      </c>
      <c r="E14" s="55"/>
    </row>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conditionalFormatting sqref="C2:C8">
    <cfRule type="cellIs" dxfId="0" priority="1" operator="lessThan">
      <formula>$C$9</formula>
    </cfRule>
  </conditionalFormatting>
  <conditionalFormatting sqref="D2:D8">
    <cfRule type="cellIs" dxfId="0" priority="2" operator="lessThan">
      <formula>$D$9</formula>
    </cfRule>
  </conditionalFormatting>
  <conditionalFormatting sqref="F2:H8">
    <cfRule type="cellIs" dxfId="1" priority="3" operator="equal">
      <formula>"GEÇTİ"</formula>
    </cfRule>
  </conditionalFormatting>
  <conditionalFormatting sqref="F2:H8">
    <cfRule type="cellIs" dxfId="0" priority="4" operator="equal">
      <formula>"KALDI"</formula>
    </cfRule>
  </conditionalFormatting>
  <dataValidations>
    <dataValidation type="decimal" allowBlank="1" showInputMessage="1" showErrorMessage="1" prompt="DİKKAT - 1-100 ARASI NOT GİRİN.." sqref="C2:D8">
      <formula1>1.0</formula1>
      <formula2>100.0</formula2>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28.43"/>
    <col customWidth="1" min="3" max="3" width="22.14"/>
    <col customWidth="1" min="4" max="4" width="15.57"/>
    <col customWidth="1" min="5" max="5" width="21.0"/>
    <col customWidth="1" min="6" max="26" width="8.71"/>
  </cols>
  <sheetData>
    <row r="1" ht="24.0" customHeight="1">
      <c r="A1" s="3"/>
      <c r="B1" s="3"/>
      <c r="C1" s="3"/>
      <c r="D1" s="3" t="s">
        <v>82</v>
      </c>
      <c r="E1" s="56">
        <f>TODAY()</f>
        <v>46029</v>
      </c>
    </row>
    <row r="2" ht="24.0" customHeight="1">
      <c r="A2" s="18" t="s">
        <v>83</v>
      </c>
      <c r="B2" s="18" t="s">
        <v>84</v>
      </c>
      <c r="C2" s="18" t="s">
        <v>85</v>
      </c>
      <c r="D2" s="3"/>
      <c r="E2" s="3"/>
    </row>
    <row r="3" ht="24.0" customHeight="1">
      <c r="A3" s="57">
        <v>6600.0</v>
      </c>
      <c r="B3" s="58">
        <v>42313.0</v>
      </c>
      <c r="C3" s="18"/>
      <c r="D3" s="3"/>
      <c r="E3" s="3"/>
    </row>
    <row r="4" ht="24.0" customHeight="1">
      <c r="A4" s="57">
        <v>1500.0</v>
      </c>
      <c r="B4" s="58">
        <v>42164.0</v>
      </c>
      <c r="C4" s="18"/>
      <c r="D4" s="3"/>
      <c r="E4" s="3"/>
    </row>
    <row r="5" ht="24.0" customHeight="1">
      <c r="A5" s="57">
        <v>200.0</v>
      </c>
      <c r="B5" s="58">
        <v>42353.0</v>
      </c>
      <c r="C5" s="18"/>
      <c r="D5" s="3"/>
      <c r="E5" s="3"/>
    </row>
    <row r="6" ht="24.0" customHeight="1">
      <c r="A6" s="57">
        <v>5000.0</v>
      </c>
      <c r="B6" s="58">
        <v>42009.0</v>
      </c>
      <c r="C6" s="18"/>
      <c r="D6" s="3"/>
      <c r="E6" s="3"/>
    </row>
    <row r="7" ht="24.0" customHeight="1">
      <c r="A7" s="57">
        <v>2300.0</v>
      </c>
      <c r="B7" s="58">
        <v>42350.0</v>
      </c>
      <c r="C7" s="18"/>
      <c r="D7" s="3"/>
      <c r="E7" s="3"/>
    </row>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7.14"/>
    <col customWidth="1" min="3" max="4" width="8.71"/>
    <col customWidth="1" min="5" max="5" width="16.0"/>
    <col customWidth="1" min="6" max="6" width="12.14"/>
    <col customWidth="1" min="7" max="26" width="8.71"/>
  </cols>
  <sheetData>
    <row r="1" ht="12.0" customHeight="1">
      <c r="A1" s="59" t="s">
        <v>86</v>
      </c>
      <c r="B1" s="28" t="s">
        <v>65</v>
      </c>
      <c r="C1" s="28" t="s">
        <v>66</v>
      </c>
      <c r="D1" s="28" t="s">
        <v>67</v>
      </c>
      <c r="E1" s="28" t="s">
        <v>87</v>
      </c>
      <c r="F1" s="60" t="s">
        <v>88</v>
      </c>
    </row>
    <row r="2" ht="12.0" customHeight="1">
      <c r="A2" s="30">
        <v>1.0</v>
      </c>
      <c r="B2" s="61" t="s">
        <v>89</v>
      </c>
      <c r="C2" s="49">
        <v>50.0</v>
      </c>
      <c r="D2" s="49">
        <v>50.0</v>
      </c>
      <c r="E2" s="62">
        <f t="shared" ref="E2:E8" si="1">C2*0.4+D2*0.6</f>
        <v>50</v>
      </c>
      <c r="F2" s="55" t="str">
        <f t="shared" ref="F2:F8" si="2">IF(C2&lt;50,"KALDI",IF(D2&lt;50,"KALDI","GEÇTİ"))</f>
        <v>GEÇTİ</v>
      </c>
    </row>
    <row r="3" ht="12.0" customHeight="1">
      <c r="A3" s="30">
        <v>2.0</v>
      </c>
      <c r="B3" s="61" t="s">
        <v>90</v>
      </c>
      <c r="C3" s="49">
        <v>60.0</v>
      </c>
      <c r="D3" s="49">
        <v>54.0</v>
      </c>
      <c r="E3" s="62">
        <f t="shared" si="1"/>
        <v>56.4</v>
      </c>
      <c r="F3" s="55" t="str">
        <f t="shared" si="2"/>
        <v>GEÇTİ</v>
      </c>
    </row>
    <row r="4" ht="12.0" customHeight="1">
      <c r="A4" s="30">
        <v>3.0</v>
      </c>
      <c r="B4" s="61" t="s">
        <v>91</v>
      </c>
      <c r="C4" s="49">
        <v>40.0</v>
      </c>
      <c r="D4" s="49">
        <v>20.0</v>
      </c>
      <c r="E4" s="62">
        <f t="shared" si="1"/>
        <v>28</v>
      </c>
      <c r="F4" s="55" t="str">
        <f t="shared" si="2"/>
        <v>KALDI</v>
      </c>
    </row>
    <row r="5" ht="12.0" customHeight="1">
      <c r="A5" s="30">
        <v>4.0</v>
      </c>
      <c r="B5" s="61" t="s">
        <v>92</v>
      </c>
      <c r="C5" s="49">
        <v>50.0</v>
      </c>
      <c r="D5" s="49">
        <v>85.0</v>
      </c>
      <c r="E5" s="62">
        <f t="shared" si="1"/>
        <v>71</v>
      </c>
      <c r="F5" s="55" t="str">
        <f t="shared" si="2"/>
        <v>GEÇTİ</v>
      </c>
    </row>
    <row r="6" ht="12.0" customHeight="1">
      <c r="A6" s="30">
        <v>5.0</v>
      </c>
      <c r="B6" s="61" t="s">
        <v>93</v>
      </c>
      <c r="C6" s="49">
        <v>66.0</v>
      </c>
      <c r="D6" s="49">
        <v>45.0</v>
      </c>
      <c r="E6" s="62">
        <f t="shared" si="1"/>
        <v>53.4</v>
      </c>
      <c r="F6" s="55" t="str">
        <f t="shared" si="2"/>
        <v>KALDI</v>
      </c>
    </row>
    <row r="7" ht="12.0" customHeight="1">
      <c r="A7" s="30">
        <v>6.0</v>
      </c>
      <c r="B7" s="61" t="s">
        <v>94</v>
      </c>
      <c r="C7" s="49">
        <v>70.0</v>
      </c>
      <c r="D7" s="49">
        <v>45.0</v>
      </c>
      <c r="E7" s="62">
        <f t="shared" si="1"/>
        <v>55</v>
      </c>
      <c r="F7" s="55" t="str">
        <f t="shared" si="2"/>
        <v>KALDI</v>
      </c>
    </row>
    <row r="8" ht="12.0" customHeight="1">
      <c r="A8" s="30">
        <v>7.0</v>
      </c>
      <c r="B8" s="61" t="s">
        <v>95</v>
      </c>
      <c r="C8" s="49">
        <v>70.0</v>
      </c>
      <c r="D8" s="49">
        <v>76.0</v>
      </c>
      <c r="E8" s="62">
        <f t="shared" si="1"/>
        <v>73.6</v>
      </c>
      <c r="F8" s="55" t="str">
        <f t="shared" si="2"/>
        <v>GEÇTİ</v>
      </c>
    </row>
    <row r="9" ht="12.0" customHeight="1"/>
    <row r="10" ht="12.0" customHeight="1"/>
    <row r="11" ht="12.0" customHeight="1"/>
    <row r="12" ht="12.0" customHeight="1">
      <c r="E12" s="63" t="s">
        <v>96</v>
      </c>
    </row>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7.14"/>
    <col customWidth="1" min="3" max="4" width="8.71"/>
    <col customWidth="1" min="5" max="5" width="16.43"/>
    <col customWidth="1" min="6" max="6" width="12.86"/>
    <col customWidth="1" min="7" max="8" width="8.71"/>
    <col customWidth="1" min="9" max="9" width="17.57"/>
    <col customWidth="1" min="10" max="15" width="8.71"/>
    <col customWidth="1" min="16" max="16" width="14.43"/>
    <col customWidth="1" min="17" max="26" width="8.71"/>
  </cols>
  <sheetData>
    <row r="1" ht="12.0" customHeight="1">
      <c r="A1" s="59" t="s">
        <v>86</v>
      </c>
      <c r="B1" s="28" t="s">
        <v>65</v>
      </c>
      <c r="C1" s="28" t="s">
        <v>66</v>
      </c>
      <c r="D1" s="28" t="s">
        <v>67</v>
      </c>
      <c r="E1" s="28" t="s">
        <v>87</v>
      </c>
      <c r="F1" s="60" t="s">
        <v>88</v>
      </c>
    </row>
    <row r="2" ht="12.0" customHeight="1">
      <c r="A2" s="30">
        <v>1.0</v>
      </c>
      <c r="B2" s="61" t="s">
        <v>89</v>
      </c>
      <c r="C2" s="49">
        <v>60.0</v>
      </c>
      <c r="D2" s="49">
        <v>40.0</v>
      </c>
      <c r="E2" s="62">
        <f t="shared" ref="E2:E8" si="1">C2*0.4+D2*0.6</f>
        <v>48</v>
      </c>
      <c r="F2" s="55" t="str">
        <f t="shared" ref="F2:F8" si="2">IF(C2&lt;50,"KALDI",IF(D2&lt;50,"KALDI","GEÇTİ"))</f>
        <v>KALDI</v>
      </c>
      <c r="I2" s="64" t="s">
        <v>97</v>
      </c>
      <c r="J2" s="65"/>
      <c r="L2" s="66" t="s">
        <v>98</v>
      </c>
      <c r="M2" s="67"/>
      <c r="N2" s="67"/>
      <c r="O2" s="67"/>
      <c r="P2" s="68"/>
    </row>
    <row r="3" ht="12.0" customHeight="1">
      <c r="A3" s="30">
        <v>2.0</v>
      </c>
      <c r="B3" s="61" t="s">
        <v>90</v>
      </c>
      <c r="C3" s="49">
        <v>54.0</v>
      </c>
      <c r="D3" s="49">
        <v>80.0</v>
      </c>
      <c r="E3" s="62">
        <f t="shared" si="1"/>
        <v>69.6</v>
      </c>
      <c r="F3" s="55" t="str">
        <f t="shared" si="2"/>
        <v>GEÇTİ</v>
      </c>
      <c r="I3" s="69" t="s">
        <v>99</v>
      </c>
      <c r="J3" s="65"/>
      <c r="L3" s="70"/>
      <c r="P3" s="71"/>
    </row>
    <row r="4" ht="12.0" customHeight="1">
      <c r="A4" s="30">
        <v>3.0</v>
      </c>
      <c r="B4" s="61" t="s">
        <v>91</v>
      </c>
      <c r="C4" s="49">
        <v>56.0</v>
      </c>
      <c r="D4" s="49">
        <v>65.0</v>
      </c>
      <c r="E4" s="62">
        <f t="shared" si="1"/>
        <v>61.4</v>
      </c>
      <c r="F4" s="55" t="str">
        <f t="shared" si="2"/>
        <v>GEÇTİ</v>
      </c>
      <c r="I4" s="69" t="s">
        <v>100</v>
      </c>
      <c r="J4" s="65"/>
      <c r="L4" s="70"/>
      <c r="P4" s="71"/>
    </row>
    <row r="5" ht="12.0" customHeight="1">
      <c r="A5" s="30">
        <v>4.0</v>
      </c>
      <c r="B5" s="61" t="s">
        <v>92</v>
      </c>
      <c r="C5" s="49">
        <v>66.0</v>
      </c>
      <c r="D5" s="49">
        <v>99.0</v>
      </c>
      <c r="E5" s="62">
        <f t="shared" si="1"/>
        <v>85.8</v>
      </c>
      <c r="F5" s="55" t="str">
        <f t="shared" si="2"/>
        <v>GEÇTİ</v>
      </c>
      <c r="I5" s="69" t="s">
        <v>101</v>
      </c>
      <c r="J5" s="65"/>
      <c r="L5" s="72"/>
      <c r="M5" s="73"/>
      <c r="N5" s="73"/>
      <c r="O5" s="73"/>
      <c r="P5" s="74"/>
    </row>
    <row r="6" ht="12.0" customHeight="1">
      <c r="A6" s="30">
        <v>5.0</v>
      </c>
      <c r="B6" s="61" t="s">
        <v>93</v>
      </c>
      <c r="C6" s="49">
        <v>50.0</v>
      </c>
      <c r="D6" s="49">
        <v>77.0</v>
      </c>
      <c r="E6" s="62">
        <f t="shared" si="1"/>
        <v>66.2</v>
      </c>
      <c r="F6" s="55" t="str">
        <f t="shared" si="2"/>
        <v>GEÇTİ</v>
      </c>
    </row>
    <row r="7" ht="12.0" customHeight="1">
      <c r="A7" s="30">
        <v>6.0</v>
      </c>
      <c r="B7" s="61" t="s">
        <v>94</v>
      </c>
      <c r="C7" s="49">
        <v>70.0</v>
      </c>
      <c r="D7" s="49">
        <v>45.0</v>
      </c>
      <c r="E7" s="62">
        <f t="shared" si="1"/>
        <v>55</v>
      </c>
      <c r="F7" s="55" t="str">
        <f t="shared" si="2"/>
        <v>KALDI</v>
      </c>
    </row>
    <row r="8" ht="12.0" customHeight="1">
      <c r="A8" s="30">
        <v>7.0</v>
      </c>
      <c r="B8" s="61" t="s">
        <v>95</v>
      </c>
      <c r="C8" s="49">
        <v>60.0</v>
      </c>
      <c r="D8" s="49">
        <v>76.0</v>
      </c>
      <c r="E8" s="62">
        <f t="shared" si="1"/>
        <v>69.6</v>
      </c>
      <c r="F8" s="55" t="str">
        <f t="shared" si="2"/>
        <v>GEÇTİ</v>
      </c>
    </row>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L2:P5"/>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8.43"/>
    <col customWidth="1" min="3" max="4" width="8.71"/>
    <col customWidth="1" min="5" max="5" width="14.43"/>
    <col customWidth="1" min="6" max="6" width="12.14"/>
    <col customWidth="1" min="7" max="12" width="8.71"/>
    <col customWidth="1" min="13" max="13" width="30.86"/>
    <col customWidth="1" min="14" max="26" width="8.71"/>
  </cols>
  <sheetData>
    <row r="1" ht="12.0" customHeight="1">
      <c r="A1" s="59" t="s">
        <v>86</v>
      </c>
      <c r="B1" s="28" t="s">
        <v>65</v>
      </c>
      <c r="C1" s="28" t="s">
        <v>66</v>
      </c>
      <c r="D1" s="28" t="s">
        <v>67</v>
      </c>
      <c r="E1" s="28" t="s">
        <v>87</v>
      </c>
      <c r="F1" s="60" t="s">
        <v>88</v>
      </c>
    </row>
    <row r="2" ht="12.0" customHeight="1">
      <c r="A2" s="30">
        <v>1.0</v>
      </c>
      <c r="B2" s="61" t="s">
        <v>89</v>
      </c>
      <c r="C2" s="49">
        <v>34.0</v>
      </c>
      <c r="D2" s="49">
        <v>50.0</v>
      </c>
      <c r="E2" s="62">
        <f t="shared" ref="E2:E8" si="1">C2*0.4+D2*0.6</f>
        <v>43.6</v>
      </c>
      <c r="F2" s="55" t="str">
        <f t="shared" ref="F2:F8" si="2">IF(C2&lt;50,"KALDI",IF(D2&lt;50,"KALDI","GEÇTİ"))</f>
        <v>KALDI</v>
      </c>
    </row>
    <row r="3" ht="12.0" customHeight="1">
      <c r="A3" s="30">
        <v>2.0</v>
      </c>
      <c r="B3" s="61" t="s">
        <v>90</v>
      </c>
      <c r="C3" s="49">
        <v>60.0</v>
      </c>
      <c r="D3" s="49">
        <v>66.0</v>
      </c>
      <c r="E3" s="62">
        <f t="shared" si="1"/>
        <v>63.6</v>
      </c>
      <c r="F3" s="55" t="str">
        <f t="shared" si="2"/>
        <v>GEÇTİ</v>
      </c>
      <c r="M3" s="75" t="s">
        <v>102</v>
      </c>
    </row>
    <row r="4" ht="12.0" customHeight="1">
      <c r="A4" s="30">
        <v>3.0</v>
      </c>
      <c r="B4" s="61" t="s">
        <v>91</v>
      </c>
      <c r="C4" s="49">
        <v>55.0</v>
      </c>
      <c r="D4" s="49">
        <v>49.0</v>
      </c>
      <c r="E4" s="62">
        <f t="shared" si="1"/>
        <v>51.4</v>
      </c>
      <c r="F4" s="55" t="str">
        <f t="shared" si="2"/>
        <v>KALDI</v>
      </c>
    </row>
    <row r="5" ht="12.0" customHeight="1">
      <c r="A5" s="30">
        <v>4.0</v>
      </c>
      <c r="B5" s="61" t="s">
        <v>92</v>
      </c>
      <c r="C5" s="49">
        <v>80.0</v>
      </c>
      <c r="D5" s="49">
        <v>80.0</v>
      </c>
      <c r="E5" s="62">
        <f t="shared" si="1"/>
        <v>80</v>
      </c>
      <c r="F5" s="55" t="str">
        <f t="shared" si="2"/>
        <v>GEÇTİ</v>
      </c>
    </row>
    <row r="6" ht="12.0" customHeight="1">
      <c r="A6" s="30">
        <v>5.0</v>
      </c>
      <c r="B6" s="61" t="s">
        <v>93</v>
      </c>
      <c r="C6" s="49">
        <v>66.0</v>
      </c>
      <c r="D6" s="49">
        <v>80.0</v>
      </c>
      <c r="E6" s="62">
        <f t="shared" si="1"/>
        <v>74.4</v>
      </c>
      <c r="F6" s="55" t="str">
        <f t="shared" si="2"/>
        <v>GEÇTİ</v>
      </c>
    </row>
    <row r="7" ht="12.0" customHeight="1">
      <c r="A7" s="30">
        <v>6.0</v>
      </c>
      <c r="B7" s="61" t="s">
        <v>94</v>
      </c>
      <c r="C7" s="49">
        <v>20.0</v>
      </c>
      <c r="D7" s="49">
        <v>60.0</v>
      </c>
      <c r="E7" s="62">
        <f t="shared" si="1"/>
        <v>44</v>
      </c>
      <c r="F7" s="55" t="str">
        <f t="shared" si="2"/>
        <v>KALDI</v>
      </c>
    </row>
    <row r="8" ht="12.0" customHeight="1">
      <c r="A8" s="30">
        <v>7.0</v>
      </c>
      <c r="B8" s="61" t="s">
        <v>95</v>
      </c>
      <c r="C8" s="49">
        <v>88.0</v>
      </c>
      <c r="D8" s="49">
        <v>76.0</v>
      </c>
      <c r="E8" s="62">
        <f t="shared" si="1"/>
        <v>80.8</v>
      </c>
      <c r="F8" s="55" t="str">
        <f t="shared" si="2"/>
        <v>GEÇTİ</v>
      </c>
    </row>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M3:M8"/>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8.43"/>
    <col customWidth="1" min="3" max="26" width="8.71"/>
  </cols>
  <sheetData>
    <row r="1" ht="12.0" customHeight="1">
      <c r="A1" s="59" t="s">
        <v>86</v>
      </c>
      <c r="B1" s="28" t="s">
        <v>65</v>
      </c>
    </row>
    <row r="2" ht="12.0" customHeight="1">
      <c r="A2" s="30">
        <v>1.0</v>
      </c>
      <c r="B2" s="61" t="s">
        <v>89</v>
      </c>
    </row>
    <row r="3" ht="12.0" customHeight="1">
      <c r="A3" s="30">
        <v>2.0</v>
      </c>
      <c r="B3" s="61" t="s">
        <v>90</v>
      </c>
    </row>
    <row r="4" ht="12.0" customHeight="1">
      <c r="A4" s="30">
        <v>3.0</v>
      </c>
      <c r="B4" s="61" t="s">
        <v>91</v>
      </c>
    </row>
    <row r="5" ht="12.0" customHeight="1">
      <c r="A5" s="30">
        <v>4.0</v>
      </c>
      <c r="B5" s="61" t="s">
        <v>92</v>
      </c>
    </row>
    <row r="6" ht="12.0" customHeight="1">
      <c r="A6" s="30">
        <v>5.0</v>
      </c>
      <c r="B6" s="61" t="s">
        <v>93</v>
      </c>
    </row>
    <row r="7" ht="12.0" customHeight="1">
      <c r="A7" s="30">
        <v>6.0</v>
      </c>
      <c r="B7" s="61" t="s">
        <v>94</v>
      </c>
    </row>
    <row r="8" ht="12.0" customHeight="1">
      <c r="A8" s="30">
        <v>7.0</v>
      </c>
      <c r="B8" s="61" t="s">
        <v>95</v>
      </c>
    </row>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8.71"/>
    <col customWidth="1" min="3" max="3" width="15.14"/>
    <col customWidth="1" min="4" max="4" width="8.71"/>
    <col customWidth="1" min="5" max="5" width="13.43"/>
    <col customWidth="1" min="6" max="26" width="8.71"/>
  </cols>
  <sheetData>
    <row r="1" ht="23.2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23.25" customHeight="1">
      <c r="A2" s="76" t="s">
        <v>103</v>
      </c>
      <c r="C2" s="17">
        <v>3.0</v>
      </c>
      <c r="D2" s="17"/>
      <c r="E2" s="17"/>
      <c r="F2" s="17"/>
      <c r="G2" s="17"/>
      <c r="H2" s="17"/>
      <c r="I2" s="17"/>
      <c r="J2" s="17"/>
      <c r="K2" s="17"/>
      <c r="L2" s="17"/>
      <c r="M2" s="17"/>
      <c r="N2" s="17"/>
      <c r="O2" s="17"/>
      <c r="P2" s="17"/>
      <c r="Q2" s="17"/>
      <c r="R2" s="17"/>
      <c r="S2" s="17"/>
      <c r="T2" s="17"/>
      <c r="U2" s="17"/>
      <c r="V2" s="17"/>
      <c r="W2" s="17"/>
      <c r="X2" s="17"/>
      <c r="Y2" s="17"/>
      <c r="Z2" s="17"/>
    </row>
    <row r="3" ht="23.25" customHeight="1">
      <c r="A3" s="76" t="s">
        <v>104</v>
      </c>
      <c r="C3" s="20"/>
      <c r="F3" s="17"/>
      <c r="G3" s="17"/>
      <c r="H3" s="17"/>
      <c r="I3" s="17"/>
      <c r="J3" s="17"/>
      <c r="K3" s="17"/>
      <c r="L3" s="17"/>
      <c r="M3" s="17"/>
      <c r="N3" s="17"/>
      <c r="O3" s="17"/>
      <c r="P3" s="17"/>
      <c r="Q3" s="17"/>
      <c r="R3" s="17"/>
      <c r="S3" s="17"/>
      <c r="T3" s="17"/>
      <c r="U3" s="17"/>
      <c r="V3" s="17"/>
      <c r="W3" s="17"/>
      <c r="X3" s="17"/>
      <c r="Y3" s="17"/>
      <c r="Z3" s="17"/>
    </row>
    <row r="4" ht="23.2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ht="23.25" customHeight="1">
      <c r="A5" s="55" t="s">
        <v>105</v>
      </c>
      <c r="B5" s="55" t="s">
        <v>106</v>
      </c>
      <c r="C5" s="55" t="s">
        <v>107</v>
      </c>
      <c r="D5" s="17"/>
      <c r="E5" s="17"/>
      <c r="F5" s="17"/>
      <c r="G5" s="17"/>
      <c r="H5" s="17"/>
      <c r="I5" s="17"/>
      <c r="J5" s="17"/>
      <c r="K5" s="17"/>
      <c r="L5" s="17"/>
      <c r="M5" s="17"/>
      <c r="N5" s="17"/>
      <c r="O5" s="17"/>
      <c r="P5" s="17"/>
      <c r="Q5" s="17"/>
      <c r="R5" s="17"/>
      <c r="S5" s="17"/>
      <c r="T5" s="17"/>
      <c r="U5" s="17"/>
      <c r="V5" s="17"/>
      <c r="W5" s="17"/>
      <c r="X5" s="17"/>
      <c r="Y5" s="17"/>
      <c r="Z5" s="17"/>
    </row>
    <row r="6" ht="23.25" customHeight="1">
      <c r="A6" s="55" t="s">
        <v>108</v>
      </c>
      <c r="B6" s="55"/>
      <c r="C6" s="55"/>
      <c r="D6" s="17"/>
      <c r="E6" s="17"/>
      <c r="F6" s="17"/>
      <c r="G6" s="17"/>
      <c r="H6" s="17"/>
      <c r="I6" s="17"/>
      <c r="J6" s="17"/>
      <c r="K6" s="17"/>
      <c r="L6" s="17"/>
      <c r="M6" s="17"/>
      <c r="N6" s="17"/>
      <c r="O6" s="17"/>
      <c r="P6" s="17"/>
      <c r="Q6" s="17"/>
      <c r="R6" s="17"/>
      <c r="S6" s="17"/>
      <c r="T6" s="17"/>
      <c r="U6" s="17"/>
      <c r="V6" s="17"/>
      <c r="W6" s="17"/>
      <c r="X6" s="17"/>
      <c r="Y6" s="17"/>
      <c r="Z6" s="17"/>
    </row>
    <row r="7" ht="23.25" customHeight="1">
      <c r="A7" s="55" t="s">
        <v>109</v>
      </c>
      <c r="B7" s="55"/>
      <c r="C7" s="55"/>
      <c r="D7" s="17"/>
      <c r="E7" s="17"/>
      <c r="F7" s="17"/>
      <c r="G7" s="17"/>
      <c r="H7" s="17"/>
      <c r="I7" s="17"/>
      <c r="J7" s="17"/>
      <c r="K7" s="17"/>
      <c r="L7" s="17"/>
      <c r="M7" s="17"/>
      <c r="N7" s="17"/>
      <c r="O7" s="17"/>
      <c r="P7" s="17"/>
      <c r="Q7" s="17"/>
      <c r="R7" s="17"/>
      <c r="S7" s="17"/>
      <c r="T7" s="17"/>
      <c r="U7" s="17"/>
      <c r="V7" s="17"/>
      <c r="W7" s="17"/>
      <c r="X7" s="17"/>
      <c r="Y7" s="17"/>
      <c r="Z7" s="17"/>
    </row>
    <row r="8" ht="23.25" customHeight="1">
      <c r="A8" s="55" t="s">
        <v>110</v>
      </c>
      <c r="B8" s="55"/>
      <c r="C8" s="55"/>
      <c r="D8" s="17"/>
      <c r="E8" s="17"/>
      <c r="F8" s="17"/>
      <c r="G8" s="17"/>
      <c r="H8" s="17"/>
      <c r="I8" s="17"/>
      <c r="J8" s="17"/>
      <c r="K8" s="17"/>
      <c r="L8" s="17"/>
      <c r="M8" s="17"/>
      <c r="N8" s="17"/>
      <c r="O8" s="17"/>
      <c r="P8" s="17"/>
      <c r="Q8" s="17"/>
      <c r="R8" s="17"/>
      <c r="S8" s="17"/>
      <c r="T8" s="17"/>
      <c r="U8" s="17"/>
      <c r="V8" s="17"/>
      <c r="W8" s="17"/>
      <c r="X8" s="17"/>
      <c r="Y8" s="17"/>
      <c r="Z8" s="17"/>
    </row>
    <row r="9" ht="23.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23.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23.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23.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23.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A2:B2"/>
    <mergeCell ref="A3:B3"/>
    <mergeCell ref="C3:E3"/>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11.86"/>
    <col customWidth="1" min="2" max="2" width="15.0"/>
    <col customWidth="1" min="3" max="3" width="10.14"/>
    <col customWidth="1" min="4" max="4" width="9.0"/>
    <col customWidth="1" min="5" max="5" width="12.43"/>
    <col customWidth="1" min="6" max="6" width="15.0"/>
    <col customWidth="1" min="7" max="7" width="23.0"/>
    <col customWidth="1" min="8" max="8" width="11.14"/>
    <col customWidth="1" min="9" max="13" width="8.71"/>
    <col customWidth="1" min="14" max="14" width="19.86"/>
    <col customWidth="1" min="15" max="26" width="8.71"/>
  </cols>
  <sheetData>
    <row r="1" ht="12.0" customHeight="1">
      <c r="A1" s="77" t="s">
        <v>111</v>
      </c>
      <c r="B1" s="77" t="s">
        <v>112</v>
      </c>
      <c r="C1" s="77" t="s">
        <v>113</v>
      </c>
      <c r="D1" s="78" t="s">
        <v>114</v>
      </c>
      <c r="E1" s="77" t="s">
        <v>115</v>
      </c>
      <c r="F1" s="77" t="s">
        <v>116</v>
      </c>
      <c r="G1" s="77" t="s">
        <v>117</v>
      </c>
      <c r="H1" s="79" t="s">
        <v>107</v>
      </c>
      <c r="I1" s="80"/>
      <c r="J1" s="80"/>
      <c r="K1" s="80"/>
      <c r="L1" s="80"/>
      <c r="M1" s="80"/>
      <c r="N1" s="80"/>
    </row>
    <row r="2" ht="15.0" customHeight="1">
      <c r="A2" s="81" t="s">
        <v>118</v>
      </c>
      <c r="B2" s="81" t="s">
        <v>119</v>
      </c>
      <c r="C2" s="81" t="s">
        <v>120</v>
      </c>
      <c r="D2" s="82">
        <v>23.0</v>
      </c>
      <c r="E2" s="83">
        <v>100.0</v>
      </c>
      <c r="F2" s="83">
        <f t="shared" ref="F2:F28" si="1">D2*E2</f>
        <v>2300</v>
      </c>
      <c r="G2" s="84">
        <v>41330.0</v>
      </c>
      <c r="H2" s="85"/>
      <c r="I2" s="86"/>
      <c r="J2" s="86"/>
      <c r="K2" s="86"/>
      <c r="L2" s="86"/>
      <c r="M2" s="86"/>
      <c r="N2" s="86"/>
    </row>
    <row r="3" ht="12.0" customHeight="1">
      <c r="A3" s="81" t="s">
        <v>121</v>
      </c>
      <c r="B3" s="81" t="s">
        <v>122</v>
      </c>
      <c r="C3" s="81" t="s">
        <v>120</v>
      </c>
      <c r="D3" s="82">
        <v>8.0</v>
      </c>
      <c r="E3" s="83">
        <v>1850.0</v>
      </c>
      <c r="F3" s="83">
        <f t="shared" si="1"/>
        <v>14800</v>
      </c>
      <c r="G3" s="84">
        <v>41256.0</v>
      </c>
      <c r="H3" s="81"/>
      <c r="I3" s="86"/>
      <c r="J3" s="86"/>
      <c r="K3" s="86"/>
      <c r="L3" s="86"/>
      <c r="M3" s="86"/>
      <c r="N3" s="86"/>
    </row>
    <row r="4" ht="12.0" customHeight="1">
      <c r="A4" s="81" t="s">
        <v>123</v>
      </c>
      <c r="B4" s="81" t="s">
        <v>124</v>
      </c>
      <c r="C4" s="81" t="s">
        <v>120</v>
      </c>
      <c r="D4" s="82">
        <v>3.0</v>
      </c>
      <c r="E4" s="83">
        <v>500.0</v>
      </c>
      <c r="F4" s="83">
        <f t="shared" si="1"/>
        <v>1500</v>
      </c>
      <c r="G4" s="84">
        <v>41155.0</v>
      </c>
      <c r="H4" s="81"/>
      <c r="I4" s="86"/>
      <c r="J4" s="86"/>
      <c r="K4" s="86"/>
      <c r="L4" s="86"/>
      <c r="M4" s="86"/>
      <c r="N4" s="86"/>
    </row>
    <row r="5" ht="12.0" customHeight="1">
      <c r="A5" s="81" t="s">
        <v>123</v>
      </c>
      <c r="B5" s="81" t="s">
        <v>124</v>
      </c>
      <c r="C5" s="81" t="s">
        <v>120</v>
      </c>
      <c r="D5" s="82">
        <v>3.0</v>
      </c>
      <c r="E5" s="83">
        <v>350.0</v>
      </c>
      <c r="F5" s="83">
        <f t="shared" si="1"/>
        <v>1050</v>
      </c>
      <c r="G5" s="84">
        <v>41155.0</v>
      </c>
      <c r="H5" s="81"/>
      <c r="I5" s="86"/>
      <c r="J5" s="86"/>
      <c r="K5" s="86"/>
      <c r="L5" s="86"/>
      <c r="M5" s="86"/>
      <c r="N5" s="86"/>
    </row>
    <row r="6" ht="12.0" customHeight="1">
      <c r="A6" s="81" t="s">
        <v>123</v>
      </c>
      <c r="B6" s="81" t="s">
        <v>124</v>
      </c>
      <c r="C6" s="81" t="s">
        <v>120</v>
      </c>
      <c r="D6" s="82">
        <v>5.0</v>
      </c>
      <c r="E6" s="83">
        <v>300.0</v>
      </c>
      <c r="F6" s="83">
        <f t="shared" si="1"/>
        <v>1500</v>
      </c>
      <c r="G6" s="84">
        <v>41155.0</v>
      </c>
      <c r="H6" s="81"/>
      <c r="I6" s="86"/>
      <c r="J6" s="86"/>
      <c r="K6" s="86"/>
      <c r="L6" s="86"/>
      <c r="M6" s="86"/>
      <c r="N6" s="86"/>
    </row>
    <row r="7" ht="12.0" customHeight="1">
      <c r="A7" s="81" t="s">
        <v>125</v>
      </c>
      <c r="B7" s="81" t="s">
        <v>126</v>
      </c>
      <c r="C7" s="81" t="s">
        <v>127</v>
      </c>
      <c r="D7" s="82">
        <v>40.0</v>
      </c>
      <c r="E7" s="83">
        <v>400.0</v>
      </c>
      <c r="F7" s="83">
        <f t="shared" si="1"/>
        <v>16000</v>
      </c>
      <c r="G7" s="87">
        <v>41339.0</v>
      </c>
      <c r="H7" s="88"/>
      <c r="R7" s="89" t="s">
        <v>128</v>
      </c>
    </row>
    <row r="8" ht="12.0" customHeight="1">
      <c r="A8" s="81" t="s">
        <v>118</v>
      </c>
      <c r="B8" s="81" t="s">
        <v>129</v>
      </c>
      <c r="C8" s="81" t="s">
        <v>127</v>
      </c>
      <c r="D8" s="82">
        <v>50.0</v>
      </c>
      <c r="E8" s="83">
        <v>200.0</v>
      </c>
      <c r="F8" s="83">
        <f t="shared" si="1"/>
        <v>10000</v>
      </c>
      <c r="G8" s="87">
        <v>41181.0</v>
      </c>
      <c r="H8" s="81"/>
    </row>
    <row r="9" ht="12.0" customHeight="1">
      <c r="A9" s="81" t="s">
        <v>118</v>
      </c>
      <c r="B9" s="81" t="s">
        <v>129</v>
      </c>
      <c r="C9" s="81" t="s">
        <v>127</v>
      </c>
      <c r="D9" s="82">
        <v>25.0</v>
      </c>
      <c r="E9" s="83">
        <v>350.0</v>
      </c>
      <c r="F9" s="83">
        <f t="shared" si="1"/>
        <v>8750</v>
      </c>
      <c r="G9" s="87">
        <v>41184.0</v>
      </c>
      <c r="H9" s="81"/>
    </row>
    <row r="10" ht="12.0" customHeight="1">
      <c r="A10" s="81" t="s">
        <v>121</v>
      </c>
      <c r="B10" s="81" t="s">
        <v>130</v>
      </c>
      <c r="C10" s="81" t="s">
        <v>127</v>
      </c>
      <c r="D10" s="82">
        <v>4.0</v>
      </c>
      <c r="E10" s="83">
        <v>2000.0</v>
      </c>
      <c r="F10" s="83">
        <f t="shared" si="1"/>
        <v>8000</v>
      </c>
      <c r="G10" s="87">
        <v>41251.0</v>
      </c>
      <c r="H10" s="81"/>
    </row>
    <row r="11" ht="12.0" customHeight="1">
      <c r="A11" s="81" t="s">
        <v>123</v>
      </c>
      <c r="B11" s="81" t="s">
        <v>124</v>
      </c>
      <c r="C11" s="81" t="s">
        <v>127</v>
      </c>
      <c r="D11" s="82">
        <v>10.0</v>
      </c>
      <c r="E11" s="83">
        <v>300.0</v>
      </c>
      <c r="F11" s="83">
        <f t="shared" si="1"/>
        <v>3000</v>
      </c>
      <c r="G11" s="87">
        <v>41155.0</v>
      </c>
      <c r="H11" s="81"/>
    </row>
    <row r="12" ht="12.0" customHeight="1">
      <c r="A12" s="81" t="s">
        <v>125</v>
      </c>
      <c r="B12" s="81" t="s">
        <v>131</v>
      </c>
      <c r="C12" s="81" t="s">
        <v>132</v>
      </c>
      <c r="D12" s="82">
        <v>15.0</v>
      </c>
      <c r="E12" s="83">
        <v>350.0</v>
      </c>
      <c r="F12" s="83">
        <f t="shared" si="1"/>
        <v>5250</v>
      </c>
      <c r="G12" s="87">
        <v>41337.0</v>
      </c>
      <c r="H12" s="81"/>
    </row>
    <row r="13" ht="12.0" customHeight="1">
      <c r="A13" s="81" t="s">
        <v>118</v>
      </c>
      <c r="B13" s="81" t="s">
        <v>119</v>
      </c>
      <c r="C13" s="81" t="s">
        <v>132</v>
      </c>
      <c r="D13" s="82">
        <v>20.0</v>
      </c>
      <c r="E13" s="83">
        <v>150.0</v>
      </c>
      <c r="F13" s="83">
        <f t="shared" si="1"/>
        <v>3000</v>
      </c>
      <c r="G13" s="87">
        <v>41183.0</v>
      </c>
      <c r="H13" s="81"/>
    </row>
    <row r="14" ht="12.0" customHeight="1">
      <c r="A14" s="81" t="s">
        <v>118</v>
      </c>
      <c r="B14" s="81" t="s">
        <v>133</v>
      </c>
      <c r="C14" s="81" t="s">
        <v>132</v>
      </c>
      <c r="D14" s="82">
        <v>12.0</v>
      </c>
      <c r="E14" s="83">
        <v>250.0</v>
      </c>
      <c r="F14" s="83">
        <f t="shared" si="1"/>
        <v>3000</v>
      </c>
      <c r="G14" s="87">
        <v>41329.0</v>
      </c>
      <c r="H14" s="81"/>
    </row>
    <row r="15" ht="12.0" customHeight="1">
      <c r="A15" s="81" t="s">
        <v>121</v>
      </c>
      <c r="B15" s="81" t="s">
        <v>134</v>
      </c>
      <c r="C15" s="81" t="s">
        <v>132</v>
      </c>
      <c r="D15" s="82">
        <v>15.0</v>
      </c>
      <c r="E15" s="83">
        <v>2500.0</v>
      </c>
      <c r="F15" s="83">
        <f t="shared" si="1"/>
        <v>37500</v>
      </c>
      <c r="G15" s="87">
        <v>41248.0</v>
      </c>
      <c r="H15" s="81"/>
    </row>
    <row r="16" ht="12.0" customHeight="1">
      <c r="A16" s="81" t="s">
        <v>121</v>
      </c>
      <c r="B16" s="81" t="s">
        <v>135</v>
      </c>
      <c r="C16" s="81" t="s">
        <v>132</v>
      </c>
      <c r="D16" s="82">
        <v>25.0</v>
      </c>
      <c r="E16" s="83">
        <v>3500.0</v>
      </c>
      <c r="F16" s="83">
        <f t="shared" si="1"/>
        <v>87500</v>
      </c>
      <c r="G16" s="87">
        <v>41249.0</v>
      </c>
      <c r="H16" s="81"/>
    </row>
    <row r="17" ht="12.0" customHeight="1">
      <c r="A17" s="81" t="s">
        <v>121</v>
      </c>
      <c r="B17" s="81" t="s">
        <v>136</v>
      </c>
      <c r="C17" s="81" t="s">
        <v>132</v>
      </c>
      <c r="D17" s="82">
        <v>20.0</v>
      </c>
      <c r="E17" s="83">
        <v>1850.0</v>
      </c>
      <c r="F17" s="83">
        <f t="shared" si="1"/>
        <v>37000</v>
      </c>
      <c r="G17" s="87">
        <v>41250.0</v>
      </c>
      <c r="H17" s="65"/>
    </row>
    <row r="18" ht="12.0" customHeight="1">
      <c r="A18" s="81" t="s">
        <v>121</v>
      </c>
      <c r="B18" s="81" t="s">
        <v>133</v>
      </c>
      <c r="C18" s="81" t="s">
        <v>132</v>
      </c>
      <c r="D18" s="82">
        <v>15.0</v>
      </c>
      <c r="E18" s="83">
        <v>3250.0</v>
      </c>
      <c r="F18" s="83">
        <f t="shared" si="1"/>
        <v>48750</v>
      </c>
      <c r="G18" s="87">
        <v>41255.0</v>
      </c>
      <c r="H18" s="65"/>
    </row>
    <row r="19" ht="12.0" customHeight="1">
      <c r="A19" s="81" t="s">
        <v>121</v>
      </c>
      <c r="B19" s="81" t="s">
        <v>122</v>
      </c>
      <c r="C19" s="81" t="s">
        <v>132</v>
      </c>
      <c r="D19" s="82">
        <v>56.0</v>
      </c>
      <c r="E19" s="83">
        <v>2000.0</v>
      </c>
      <c r="F19" s="83">
        <f t="shared" si="1"/>
        <v>112000</v>
      </c>
      <c r="G19" s="87">
        <v>41257.0</v>
      </c>
      <c r="H19" s="65"/>
    </row>
    <row r="20" ht="12.0" customHeight="1">
      <c r="A20" s="81" t="s">
        <v>121</v>
      </c>
      <c r="B20" s="81" t="s">
        <v>133</v>
      </c>
      <c r="C20" s="81" t="s">
        <v>132</v>
      </c>
      <c r="D20" s="82">
        <v>20.0</v>
      </c>
      <c r="E20" s="83">
        <v>3000.0</v>
      </c>
      <c r="F20" s="83">
        <f t="shared" si="1"/>
        <v>60000</v>
      </c>
      <c r="G20" s="87">
        <v>41176.0</v>
      </c>
      <c r="H20" s="65"/>
    </row>
    <row r="21" ht="12.0" customHeight="1">
      <c r="A21" s="81" t="s">
        <v>118</v>
      </c>
      <c r="B21" s="81" t="s">
        <v>119</v>
      </c>
      <c r="C21" s="81" t="s">
        <v>137</v>
      </c>
      <c r="D21" s="82">
        <v>45.0</v>
      </c>
      <c r="E21" s="83">
        <v>85.0</v>
      </c>
      <c r="F21" s="83">
        <f t="shared" si="1"/>
        <v>3825</v>
      </c>
      <c r="G21" s="87">
        <v>41185.0</v>
      </c>
      <c r="H21" s="65"/>
    </row>
    <row r="22" ht="12.0" customHeight="1">
      <c r="A22" s="81" t="s">
        <v>138</v>
      </c>
      <c r="B22" s="81" t="s">
        <v>134</v>
      </c>
      <c r="C22" s="81" t="s">
        <v>137</v>
      </c>
      <c r="D22" s="82">
        <v>5.0</v>
      </c>
      <c r="E22" s="83">
        <v>600.0</v>
      </c>
      <c r="F22" s="83">
        <f t="shared" si="1"/>
        <v>3000</v>
      </c>
      <c r="G22" s="87">
        <v>41178.0</v>
      </c>
      <c r="H22" s="65"/>
    </row>
    <row r="23" ht="12.0" customHeight="1">
      <c r="A23" s="81" t="s">
        <v>123</v>
      </c>
      <c r="B23" s="81" t="s">
        <v>124</v>
      </c>
      <c r="C23" s="81" t="s">
        <v>137</v>
      </c>
      <c r="D23" s="82">
        <v>20.0</v>
      </c>
      <c r="E23" s="83">
        <v>300.0</v>
      </c>
      <c r="F23" s="83">
        <f t="shared" si="1"/>
        <v>6000</v>
      </c>
      <c r="G23" s="87">
        <v>41155.0</v>
      </c>
      <c r="H23" s="65"/>
    </row>
    <row r="24" ht="12.0" customHeight="1">
      <c r="A24" s="81" t="s">
        <v>125</v>
      </c>
      <c r="B24" s="81" t="s">
        <v>131</v>
      </c>
      <c r="C24" s="81" t="s">
        <v>139</v>
      </c>
      <c r="D24" s="82">
        <v>15.0</v>
      </c>
      <c r="E24" s="83">
        <v>450.0</v>
      </c>
      <c r="F24" s="83">
        <f t="shared" si="1"/>
        <v>6750</v>
      </c>
      <c r="G24" s="87">
        <v>41334.0</v>
      </c>
      <c r="H24" s="65"/>
    </row>
    <row r="25" ht="12.0" customHeight="1">
      <c r="A25" s="81" t="s">
        <v>118</v>
      </c>
      <c r="B25" s="81" t="s">
        <v>119</v>
      </c>
      <c r="C25" s="81" t="s">
        <v>139</v>
      </c>
      <c r="D25" s="82">
        <v>50.0</v>
      </c>
      <c r="E25" s="83">
        <v>150.0</v>
      </c>
      <c r="F25" s="83">
        <f t="shared" si="1"/>
        <v>7500</v>
      </c>
      <c r="G25" s="87">
        <v>41331.0</v>
      </c>
      <c r="H25" s="65"/>
    </row>
    <row r="26" ht="12.0" customHeight="1">
      <c r="A26" s="81" t="s">
        <v>118</v>
      </c>
      <c r="B26" s="81" t="s">
        <v>129</v>
      </c>
      <c r="C26" s="81" t="s">
        <v>139</v>
      </c>
      <c r="D26" s="82">
        <v>100.0</v>
      </c>
      <c r="E26" s="83">
        <v>250.0</v>
      </c>
      <c r="F26" s="83">
        <f t="shared" si="1"/>
        <v>25000</v>
      </c>
      <c r="G26" s="87">
        <v>41332.0</v>
      </c>
      <c r="H26" s="65"/>
    </row>
    <row r="27" ht="12.0" customHeight="1">
      <c r="A27" s="81" t="s">
        <v>121</v>
      </c>
      <c r="B27" s="81" t="s">
        <v>133</v>
      </c>
      <c r="C27" s="81" t="s">
        <v>139</v>
      </c>
      <c r="D27" s="82">
        <v>20.0</v>
      </c>
      <c r="E27" s="83">
        <v>3500.0</v>
      </c>
      <c r="F27" s="83">
        <f t="shared" si="1"/>
        <v>70000</v>
      </c>
      <c r="G27" s="87">
        <v>41252.0</v>
      </c>
      <c r="H27" s="65"/>
    </row>
    <row r="28" ht="12.0" customHeight="1">
      <c r="A28" s="81" t="s">
        <v>121</v>
      </c>
      <c r="B28" s="81" t="s">
        <v>122</v>
      </c>
      <c r="C28" s="81" t="s">
        <v>139</v>
      </c>
      <c r="D28" s="82">
        <v>15.0</v>
      </c>
      <c r="E28" s="83">
        <v>1850.0</v>
      </c>
      <c r="F28" s="83">
        <f t="shared" si="1"/>
        <v>27750</v>
      </c>
      <c r="G28" s="87">
        <v>41253.0</v>
      </c>
      <c r="H28" s="65"/>
    </row>
    <row r="29" ht="12.0" customHeight="1">
      <c r="A29" s="81" t="s">
        <v>125</v>
      </c>
      <c r="B29" s="81" t="s">
        <v>133</v>
      </c>
      <c r="C29" s="81" t="s">
        <v>140</v>
      </c>
      <c r="D29" s="82">
        <v>5.0</v>
      </c>
      <c r="E29" s="83">
        <v>650.0</v>
      </c>
      <c r="F29" s="83" t="s">
        <v>141</v>
      </c>
      <c r="G29" s="87">
        <v>41336.0</v>
      </c>
      <c r="H29" s="65"/>
    </row>
    <row r="30" ht="12.0" customHeight="1">
      <c r="A30" s="81" t="s">
        <v>125</v>
      </c>
      <c r="B30" s="81" t="s">
        <v>126</v>
      </c>
      <c r="C30" s="81" t="s">
        <v>140</v>
      </c>
      <c r="D30" s="82">
        <v>17.0</v>
      </c>
      <c r="E30" s="83">
        <v>350.0</v>
      </c>
      <c r="F30" s="83">
        <f t="shared" ref="F30:F40" si="2">D30*E30</f>
        <v>5950</v>
      </c>
      <c r="G30" s="87">
        <v>41338.0</v>
      </c>
      <c r="H30" s="65"/>
    </row>
    <row r="31" ht="12.0" customHeight="1">
      <c r="A31" s="81" t="s">
        <v>138</v>
      </c>
      <c r="B31" s="81" t="s">
        <v>130</v>
      </c>
      <c r="C31" s="81" t="s">
        <v>140</v>
      </c>
      <c r="D31" s="82">
        <v>5.0</v>
      </c>
      <c r="E31" s="83">
        <v>500.0</v>
      </c>
      <c r="F31" s="83">
        <f t="shared" si="2"/>
        <v>2500</v>
      </c>
      <c r="G31" s="87">
        <v>41177.0</v>
      </c>
      <c r="H31" s="65"/>
    </row>
    <row r="32" ht="12.0" customHeight="1">
      <c r="A32" s="81" t="s">
        <v>123</v>
      </c>
      <c r="B32" s="81" t="s">
        <v>124</v>
      </c>
      <c r="C32" s="81" t="s">
        <v>140</v>
      </c>
      <c r="D32" s="82">
        <v>5.0</v>
      </c>
      <c r="E32" s="83">
        <v>400.0</v>
      </c>
      <c r="F32" s="83">
        <f t="shared" si="2"/>
        <v>2000</v>
      </c>
      <c r="G32" s="87">
        <v>41155.0</v>
      </c>
      <c r="H32" s="65"/>
    </row>
    <row r="33" ht="12.0" customHeight="1">
      <c r="A33" s="81" t="s">
        <v>125</v>
      </c>
      <c r="B33" s="81" t="s">
        <v>131</v>
      </c>
      <c r="C33" s="81" t="s">
        <v>142</v>
      </c>
      <c r="D33" s="82">
        <v>20.0</v>
      </c>
      <c r="E33" s="83">
        <v>450.0</v>
      </c>
      <c r="F33" s="83">
        <f t="shared" si="2"/>
        <v>9000</v>
      </c>
      <c r="G33" s="87">
        <v>41333.0</v>
      </c>
      <c r="H33" s="65"/>
    </row>
    <row r="34" ht="12.0" customHeight="1">
      <c r="A34" s="81" t="s">
        <v>125</v>
      </c>
      <c r="B34" s="81" t="s">
        <v>134</v>
      </c>
      <c r="C34" s="81" t="s">
        <v>142</v>
      </c>
      <c r="D34" s="82">
        <v>15.0</v>
      </c>
      <c r="E34" s="83">
        <v>750.0</v>
      </c>
      <c r="F34" s="83">
        <f t="shared" si="2"/>
        <v>11250</v>
      </c>
      <c r="G34" s="87">
        <v>41335.0</v>
      </c>
      <c r="H34" s="65"/>
    </row>
    <row r="35" ht="12.0" customHeight="1">
      <c r="A35" s="81" t="s">
        <v>138</v>
      </c>
      <c r="B35" s="81" t="s">
        <v>135</v>
      </c>
      <c r="C35" s="81" t="s">
        <v>142</v>
      </c>
      <c r="D35" s="82">
        <v>10.0</v>
      </c>
      <c r="E35" s="83">
        <v>650.0</v>
      </c>
      <c r="F35" s="83">
        <f t="shared" si="2"/>
        <v>6500</v>
      </c>
      <c r="G35" s="87">
        <v>41179.0</v>
      </c>
      <c r="H35" s="65"/>
    </row>
    <row r="36" ht="12.0" customHeight="1">
      <c r="A36" s="81" t="s">
        <v>121</v>
      </c>
      <c r="B36" s="81" t="s">
        <v>134</v>
      </c>
      <c r="C36" s="81" t="s">
        <v>142</v>
      </c>
      <c r="D36" s="82">
        <v>10.0</v>
      </c>
      <c r="E36" s="83">
        <v>2850.0</v>
      </c>
      <c r="F36" s="83">
        <f t="shared" si="2"/>
        <v>28500</v>
      </c>
      <c r="G36" s="87">
        <v>41254.0</v>
      </c>
      <c r="H36" s="65"/>
    </row>
    <row r="37" ht="12.0" customHeight="1">
      <c r="A37" s="81" t="s">
        <v>121</v>
      </c>
      <c r="B37" s="81" t="s">
        <v>134</v>
      </c>
      <c r="C37" s="81" t="s">
        <v>142</v>
      </c>
      <c r="D37" s="82">
        <v>15.0</v>
      </c>
      <c r="E37" s="83">
        <v>3200.0</v>
      </c>
      <c r="F37" s="83">
        <f t="shared" si="2"/>
        <v>48000</v>
      </c>
      <c r="G37" s="87">
        <v>41175.0</v>
      </c>
      <c r="H37" s="65"/>
    </row>
    <row r="38" ht="12.0" customHeight="1">
      <c r="A38" s="81" t="s">
        <v>118</v>
      </c>
      <c r="B38" s="81" t="s">
        <v>129</v>
      </c>
      <c r="C38" s="81" t="s">
        <v>143</v>
      </c>
      <c r="D38" s="82">
        <v>100.0</v>
      </c>
      <c r="E38" s="83">
        <v>100.0</v>
      </c>
      <c r="F38" s="83">
        <f t="shared" si="2"/>
        <v>10000</v>
      </c>
      <c r="G38" s="87">
        <v>41182.0</v>
      </c>
      <c r="H38" s="65"/>
    </row>
    <row r="39" ht="12.0" customHeight="1">
      <c r="A39" s="81" t="s">
        <v>138</v>
      </c>
      <c r="B39" s="81" t="s">
        <v>133</v>
      </c>
      <c r="C39" s="81" t="s">
        <v>143</v>
      </c>
      <c r="D39" s="82">
        <v>15.0</v>
      </c>
      <c r="E39" s="83">
        <v>1000.0</v>
      </c>
      <c r="F39" s="83">
        <f t="shared" si="2"/>
        <v>15000</v>
      </c>
      <c r="G39" s="87">
        <v>41180.0</v>
      </c>
      <c r="H39" s="65"/>
    </row>
    <row r="40" ht="12.0" customHeight="1">
      <c r="A40" s="81" t="s">
        <v>123</v>
      </c>
      <c r="B40" s="81" t="s">
        <v>124</v>
      </c>
      <c r="C40" s="81" t="s">
        <v>143</v>
      </c>
      <c r="D40" s="82">
        <v>10.0</v>
      </c>
      <c r="E40" s="83">
        <v>350.0</v>
      </c>
      <c r="F40" s="83">
        <f t="shared" si="2"/>
        <v>3500</v>
      </c>
      <c r="G40" s="87">
        <v>41155.0</v>
      </c>
      <c r="H40" s="65"/>
    </row>
    <row r="41" ht="12.0" customHeight="1"/>
    <row r="42" ht="12.0" customHeight="1">
      <c r="A42" s="80"/>
    </row>
    <row r="43" ht="12.0" customHeight="1">
      <c r="A43" s="80"/>
    </row>
    <row r="44" ht="12.0" customHeight="1">
      <c r="A44" s="80"/>
    </row>
    <row r="45" ht="12.0" customHeight="1">
      <c r="A45" s="80"/>
    </row>
    <row r="46" ht="12.0" customHeight="1">
      <c r="A46" s="80"/>
    </row>
    <row r="47" ht="12.0" customHeight="1">
      <c r="A47" s="80"/>
    </row>
    <row r="48" ht="12.0" customHeight="1">
      <c r="A48" s="80"/>
    </row>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1.25" customHeight="1"/>
    <row r="65" ht="12.0" hidden="1" customHeight="1"/>
    <row r="66" ht="12.0" hidden="1" customHeight="1"/>
    <row r="67" ht="12.0" hidden="1" customHeight="1"/>
    <row r="68" ht="12.0" hidden="1" customHeight="1"/>
    <row r="69" ht="12.0" hidden="1" customHeight="1"/>
    <row r="70" ht="12.0" hidden="1" customHeight="1"/>
    <row r="71" ht="12.0" hidden="1" customHeight="1"/>
    <row r="72" ht="12.0" hidden="1" customHeight="1"/>
    <row r="73" ht="12.0" hidden="1" customHeight="1"/>
    <row r="74" ht="12.0" hidden="1" customHeight="1"/>
    <row r="75" ht="12.0" hidden="1" customHeight="1"/>
    <row r="76" ht="12.0" hidden="1" customHeight="1"/>
    <row r="77" ht="12.0" customHeight="1">
      <c r="B77" s="80"/>
      <c r="C77" s="80"/>
      <c r="D77" s="90"/>
      <c r="E77" s="80"/>
      <c r="F77" s="80"/>
      <c r="G77" s="80"/>
    </row>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R7:W41"/>
  </mergeCells>
  <printOptions/>
  <pageMargins bottom="0.75" footer="0.0" header="0.0" left="0.7" right="0.7" top="0.75"/>
  <pageSetup paperSize="9" orientation="portrait"/>
  <colBreaks count="1" manualBreakCount="1">
    <brk id="8" man="1"/>
  </colBrea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6.86"/>
    <col customWidth="1" min="5" max="15" width="8.71"/>
    <col customWidth="1" min="16" max="16" width="22.0"/>
    <col customWidth="1" min="17" max="17" width="23.86"/>
    <col customWidth="1" min="18" max="26" width="8.71"/>
  </cols>
  <sheetData>
    <row r="1" ht="12.0" customHeight="1"/>
    <row r="2" ht="12.0" customHeight="1"/>
    <row r="3" ht="12.0" customHeight="1"/>
    <row r="4" ht="4.5" customHeight="1"/>
    <row r="5" ht="12.0" hidden="1" customHeight="1"/>
    <row r="6" ht="39.0" customHeight="1">
      <c r="P6" s="20" t="s">
        <v>144</v>
      </c>
      <c r="Q6" s="20" t="s">
        <v>145</v>
      </c>
    </row>
    <row r="7" ht="25.5" customHeight="1">
      <c r="C7" s="91" t="s">
        <v>146</v>
      </c>
      <c r="D7" s="91" t="s">
        <v>147</v>
      </c>
      <c r="P7" s="20" t="s">
        <v>148</v>
      </c>
      <c r="Q7" s="20">
        <v>24.0</v>
      </c>
    </row>
    <row r="8" ht="25.5" customHeight="1">
      <c r="C8" s="18">
        <v>-4.0</v>
      </c>
      <c r="D8" s="18"/>
      <c r="P8" s="20" t="s">
        <v>149</v>
      </c>
      <c r="Q8" s="20">
        <v>16.0</v>
      </c>
    </row>
    <row r="9" ht="25.5" customHeight="1">
      <c r="C9" s="18">
        <v>-3.0</v>
      </c>
      <c r="D9" s="18"/>
      <c r="P9" s="20" t="s">
        <v>150</v>
      </c>
      <c r="Q9" s="20">
        <v>11.0</v>
      </c>
    </row>
    <row r="10" ht="25.5" customHeight="1">
      <c r="C10" s="18">
        <v>-2.0</v>
      </c>
      <c r="D10" s="18"/>
      <c r="P10" s="20" t="s">
        <v>151</v>
      </c>
      <c r="Q10" s="20">
        <v>40.0</v>
      </c>
    </row>
    <row r="11" ht="25.5" customHeight="1">
      <c r="C11" s="18">
        <v>-1.0</v>
      </c>
      <c r="D11" s="18"/>
      <c r="G11" s="17"/>
      <c r="P11" s="20" t="s">
        <v>152</v>
      </c>
      <c r="Q11" s="20">
        <v>43.0</v>
      </c>
    </row>
    <row r="12" ht="25.5" customHeight="1">
      <c r="C12" s="18">
        <v>0.0</v>
      </c>
      <c r="D12" s="18"/>
      <c r="P12" s="20" t="s">
        <v>153</v>
      </c>
      <c r="Q12" s="20">
        <v>51.0</v>
      </c>
    </row>
    <row r="13" ht="25.5" customHeight="1">
      <c r="C13" s="18">
        <v>1.0</v>
      </c>
      <c r="D13" s="18"/>
      <c r="P13" s="20" t="s">
        <v>154</v>
      </c>
      <c r="Q13" s="20">
        <v>60.0</v>
      </c>
    </row>
    <row r="14" ht="25.5" customHeight="1">
      <c r="C14" s="18">
        <v>2.0</v>
      </c>
      <c r="D14" s="18"/>
      <c r="P14" s="20" t="s">
        <v>155</v>
      </c>
      <c r="Q14" s="20">
        <v>54.0</v>
      </c>
    </row>
    <row r="15" ht="25.5" customHeight="1">
      <c r="C15" s="18">
        <v>3.0</v>
      </c>
      <c r="D15" s="18"/>
      <c r="P15" s="20" t="s">
        <v>156</v>
      </c>
      <c r="Q15" s="20">
        <v>48.0</v>
      </c>
    </row>
    <row r="16" ht="25.5" customHeight="1">
      <c r="C16" s="18">
        <v>4.0</v>
      </c>
      <c r="D16" s="18"/>
      <c r="P16" s="20" t="s">
        <v>157</v>
      </c>
      <c r="Q16" s="20">
        <v>40.0</v>
      </c>
    </row>
    <row r="17" ht="28.5" customHeight="1">
      <c r="P17" s="20" t="s">
        <v>158</v>
      </c>
      <c r="Q17" s="20">
        <v>29.0</v>
      </c>
    </row>
    <row r="18" ht="28.5" customHeight="1">
      <c r="P18" s="20" t="s">
        <v>159</v>
      </c>
      <c r="Q18" s="20">
        <v>24.0</v>
      </c>
    </row>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2006-12-03T22:23:34Z</dcterms:created>
  <dc:creator>Önder Demir</dc:creator>
</cp:coreProperties>
</file>